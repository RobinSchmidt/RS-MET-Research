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08" yWindow="-108" windowWidth="23232" windowHeight="12720" tabRatio="500" activeTab="1"/>
  </bookViews>
  <sheets>
    <sheet name="6n2p" sheetId="5" r:id="rId1"/>
    <sheet name="6J1" sheetId="11" r:id="rId2"/>
    <sheet name="test sine" sheetId="7" r:id="rId3"/>
    <sheet name="Vout = Vin^2" sheetId="8" r:id="rId4"/>
  </sheets>
  <functionGroups builtInGroupCount="17"/>
  <definedNames>
    <definedName name="average">'test sine'!$M$14</definedName>
    <definedName name="avg">'test sine'!$G$37</definedName>
    <definedName name="bias_grid">'Vout = Vin^2'!$E$2</definedName>
    <definedName name="gain_post">'Vout = Vin^2'!$E$8</definedName>
    <definedName name="gain_pre">'Vout = Vin^2'!$E$5</definedName>
    <definedName name="grid_bias">'test sine'!$E$2</definedName>
    <definedName name="loadline_y">#REF!</definedName>
    <definedName name="loadline_yRk">#REF!</definedName>
    <definedName name="oneovermax">'test sine'!$M$16</definedName>
    <definedName name="post_gain">'test sine'!$E$8</definedName>
    <definedName name="pre_gain">'test sine'!$E$5</definedName>
    <definedName name="slope">#REF!</definedName>
    <definedName name="slopeRk">#REF!</definedName>
    <definedName name="z">#REF!</definedName>
  </definedNames>
  <calcPr calcId="145621"/>
  <extLst>
    <ext uri="smNativeData">
      <pm:revision xmlns:pm="smNativeData" day="1737163709" val="1222" rev="124" rev64="64" revOS="1" revMin="124" revMax="0"/>
      <pm:docPrefs xmlns:pm="smNativeData" id="1737163709" fixedDigits="0" showNotice="1" showFrameBounds="1" autoChart="1" recalcOnPrint="1" recalcOnCopy="1" finalRounding="1" compatTextArt="1" tab="567" useDefinedPrintRange="1" printArea="currentSheet"/>
      <pm:compatibility xmlns:pm="smNativeData" id="1737163709" overlapCells="1"/>
      <pm:defCurrency xmlns:pm="smNativeData" id="1737163709"/>
    </ext>
  </extLst>
</workbook>
</file>

<file path=xl/calcChain.xml><?xml version="1.0" encoding="utf-8"?>
<calcChain xmlns="http://schemas.openxmlformats.org/spreadsheetml/2006/main">
  <c r="B27" i="5" l="1"/>
  <c r="N36" i="5" l="1"/>
  <c r="O35" i="5"/>
  <c r="O35" i="11"/>
  <c r="N36" i="11"/>
  <c r="J5" i="7" l="1"/>
  <c r="J4" i="7"/>
  <c r="J3" i="7"/>
  <c r="M49" i="5"/>
  <c r="M48" i="5"/>
  <c r="M47" i="5"/>
  <c r="C58" i="5"/>
  <c r="C59" i="5"/>
  <c r="C51" i="5"/>
  <c r="C49" i="5"/>
  <c r="C50" i="5" s="1"/>
  <c r="B45" i="5"/>
  <c r="B48" i="5" s="1"/>
  <c r="B44" i="5"/>
  <c r="B47" i="5" s="1"/>
  <c r="B43" i="5"/>
  <c r="B46" i="5" s="1"/>
  <c r="B51" i="5" s="1"/>
  <c r="C45" i="5"/>
  <c r="C48" i="5" s="1"/>
  <c r="C44" i="5"/>
  <c r="C47" i="5" s="1"/>
  <c r="C43" i="5"/>
  <c r="C46" i="5" s="1"/>
  <c r="B36" i="5"/>
  <c r="B37" i="5" s="1"/>
  <c r="B39" i="5" s="1"/>
  <c r="G46" i="5"/>
  <c r="F46" i="5"/>
  <c r="E46" i="5"/>
  <c r="D46" i="5"/>
  <c r="M45" i="5"/>
  <c r="L45" i="5"/>
  <c r="K45" i="5"/>
  <c r="J45" i="5"/>
  <c r="I45" i="5"/>
  <c r="H45" i="5"/>
  <c r="G45" i="5"/>
  <c r="F45" i="5"/>
  <c r="E45" i="5"/>
  <c r="D45" i="5"/>
  <c r="M44" i="5"/>
  <c r="L44" i="5"/>
  <c r="K44" i="5"/>
  <c r="J44" i="5"/>
  <c r="I44" i="5"/>
  <c r="H44" i="5"/>
  <c r="G44" i="5"/>
  <c r="F44" i="5"/>
  <c r="E44" i="5"/>
  <c r="D44" i="5"/>
  <c r="M43" i="5"/>
  <c r="M46" i="5" s="1"/>
  <c r="L43" i="5"/>
  <c r="L46" i="5" s="1"/>
  <c r="K43" i="5"/>
  <c r="J43" i="5"/>
  <c r="I43" i="5"/>
  <c r="H43" i="5"/>
  <c r="H46" i="5" s="1"/>
  <c r="G43" i="5"/>
  <c r="F43" i="5"/>
  <c r="E43" i="5"/>
  <c r="D43" i="5"/>
  <c r="B49" i="5" l="1"/>
  <c r="E37" i="5"/>
  <c r="D48" i="5" s="1"/>
  <c r="E36" i="5"/>
  <c r="L47" i="5" s="1"/>
  <c r="I46" i="5"/>
  <c r="K46" i="5"/>
  <c r="J46" i="5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B50" i="5" l="1"/>
  <c r="C57" i="5"/>
  <c r="K47" i="5"/>
  <c r="F48" i="5"/>
  <c r="D47" i="5"/>
  <c r="D51" i="5" s="1"/>
  <c r="E48" i="5"/>
  <c r="M51" i="5"/>
  <c r="D49" i="5"/>
  <c r="J47" i="5"/>
  <c r="F47" i="5"/>
  <c r="E47" i="5"/>
  <c r="G47" i="5"/>
  <c r="I47" i="5"/>
  <c r="H47" i="5"/>
  <c r="L48" i="5"/>
  <c r="L49" i="5" s="1"/>
  <c r="H48" i="5"/>
  <c r="I48" i="5"/>
  <c r="G48" i="5"/>
  <c r="K48" i="5"/>
  <c r="K49" i="5" s="1"/>
  <c r="J48" i="5"/>
  <c r="F2" i="7"/>
  <c r="B37" i="11"/>
  <c r="M29" i="11"/>
  <c r="M45" i="11" s="1"/>
  <c r="L29" i="11"/>
  <c r="L45" i="11" s="1"/>
  <c r="M28" i="11"/>
  <c r="M44" i="11" s="1"/>
  <c r="L28" i="11"/>
  <c r="L44" i="11" s="1"/>
  <c r="M27" i="11"/>
  <c r="M43" i="11" s="1"/>
  <c r="M46" i="11" s="1"/>
  <c r="L27" i="11"/>
  <c r="L43" i="11" s="1"/>
  <c r="L46" i="11" s="1"/>
  <c r="K29" i="11"/>
  <c r="K45" i="11" s="1"/>
  <c r="K28" i="11"/>
  <c r="K44" i="11" s="1"/>
  <c r="K27" i="11"/>
  <c r="K43" i="11" s="1"/>
  <c r="K46" i="11" s="1"/>
  <c r="J29" i="11"/>
  <c r="J45" i="11" s="1"/>
  <c r="J28" i="11"/>
  <c r="J44" i="11" s="1"/>
  <c r="J27" i="11"/>
  <c r="J43" i="11" s="1"/>
  <c r="J46" i="11" s="1"/>
  <c r="I29" i="11"/>
  <c r="I45" i="11" s="1"/>
  <c r="I28" i="11"/>
  <c r="I44" i="11" s="1"/>
  <c r="I27" i="11"/>
  <c r="I43" i="11" s="1"/>
  <c r="I46" i="11" s="1"/>
  <c r="H29" i="11"/>
  <c r="H45" i="11" s="1"/>
  <c r="H28" i="11"/>
  <c r="H44" i="11" s="1"/>
  <c r="H27" i="11"/>
  <c r="H43" i="11" s="1"/>
  <c r="H46" i="11" s="1"/>
  <c r="G29" i="11"/>
  <c r="G45" i="11" s="1"/>
  <c r="G28" i="11"/>
  <c r="G44" i="11" s="1"/>
  <c r="G27" i="11"/>
  <c r="G43" i="11" s="1"/>
  <c r="G46" i="11" s="1"/>
  <c r="F29" i="11"/>
  <c r="F45" i="11" s="1"/>
  <c r="F28" i="11"/>
  <c r="F44" i="11" s="1"/>
  <c r="F27" i="11"/>
  <c r="F43" i="11" s="1"/>
  <c r="F46" i="11" s="1"/>
  <c r="E27" i="11"/>
  <c r="E43" i="11" s="1"/>
  <c r="E46" i="11" s="1"/>
  <c r="D29" i="11"/>
  <c r="D45" i="11" s="1"/>
  <c r="D28" i="11"/>
  <c r="D44" i="11" s="1"/>
  <c r="D27" i="11"/>
  <c r="D43" i="11" s="1"/>
  <c r="D46" i="11" s="1"/>
  <c r="A6" i="1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5" i="11"/>
  <c r="C69" i="5" l="1"/>
  <c r="C70" i="5" s="1"/>
  <c r="C71" i="5" s="1"/>
  <c r="C72" i="5" s="1"/>
  <c r="C66" i="5"/>
  <c r="K50" i="5"/>
  <c r="C67" i="5"/>
  <c r="L50" i="5"/>
  <c r="L51" i="5"/>
  <c r="H49" i="5"/>
  <c r="H51" i="5"/>
  <c r="G49" i="5"/>
  <c r="G51" i="5"/>
  <c r="J51" i="5"/>
  <c r="J49" i="5"/>
  <c r="K51" i="5"/>
  <c r="D50" i="5"/>
  <c r="I49" i="5"/>
  <c r="I51" i="5"/>
  <c r="E51" i="5"/>
  <c r="E49" i="5"/>
  <c r="F51" i="5"/>
  <c r="F49" i="5"/>
  <c r="B39" i="11"/>
  <c r="M50" i="5" l="1"/>
  <c r="C56" i="5"/>
  <c r="C55" i="5" s="1"/>
  <c r="C64" i="5"/>
  <c r="I50" i="5"/>
  <c r="C65" i="5"/>
  <c r="J50" i="5"/>
  <c r="C61" i="5"/>
  <c r="F50" i="5"/>
  <c r="C62" i="5"/>
  <c r="G50" i="5"/>
  <c r="C60" i="5"/>
  <c r="C74" i="5" s="1"/>
  <c r="E50" i="5"/>
  <c r="C63" i="5"/>
  <c r="H50" i="5"/>
  <c r="E36" i="11"/>
  <c r="E37" i="11"/>
  <c r="C75" i="5" l="1"/>
  <c r="C76" i="5"/>
  <c r="C78" i="5"/>
  <c r="C77" i="5"/>
  <c r="J6" i="7" s="1"/>
  <c r="J48" i="11"/>
  <c r="I48" i="11"/>
  <c r="H48" i="11"/>
  <c r="D48" i="11"/>
  <c r="M48" i="11"/>
  <c r="F48" i="11"/>
  <c r="G48" i="11"/>
  <c r="K48" i="11"/>
  <c r="L48" i="11"/>
  <c r="M47" i="11"/>
  <c r="L47" i="11"/>
  <c r="K47" i="11"/>
  <c r="D47" i="11"/>
  <c r="G47" i="11"/>
  <c r="F47" i="11"/>
  <c r="J47" i="11"/>
  <c r="I47" i="11"/>
  <c r="H47" i="11"/>
  <c r="Q70" i="5"/>
  <c r="Q55" i="5"/>
  <c r="Q71" i="5"/>
  <c r="Q69" i="5"/>
  <c r="Q72" i="5"/>
  <c r="Q63" i="5"/>
  <c r="Q68" i="5"/>
  <c r="Q58" i="5"/>
  <c r="Q57" i="5"/>
  <c r="Q64" i="5"/>
  <c r="Q59" i="5"/>
  <c r="Q65" i="5"/>
  <c r="Q61" i="5"/>
  <c r="Q60" i="5"/>
  <c r="Q66" i="5"/>
  <c r="Q56" i="5"/>
  <c r="Q62" i="5"/>
  <c r="Q67" i="5"/>
  <c r="J7" i="7" l="1"/>
  <c r="I49" i="11"/>
  <c r="I51" i="11"/>
  <c r="D49" i="11"/>
  <c r="C59" i="11" s="1"/>
  <c r="D51" i="11"/>
  <c r="K51" i="11"/>
  <c r="K49" i="11"/>
  <c r="C66" i="11" s="1"/>
  <c r="F51" i="11"/>
  <c r="F49" i="11"/>
  <c r="L49" i="11"/>
  <c r="C67" i="11" s="1"/>
  <c r="L51" i="11"/>
  <c r="J49" i="11"/>
  <c r="C65" i="11" s="1"/>
  <c r="J51" i="11"/>
  <c r="G49" i="11"/>
  <c r="G51" i="11"/>
  <c r="M51" i="11"/>
  <c r="M49" i="11"/>
  <c r="C68" i="11" s="1"/>
  <c r="C69" i="11" s="1"/>
  <c r="C70" i="11" s="1"/>
  <c r="C71" i="11" s="1"/>
  <c r="C72" i="11" s="1"/>
  <c r="H51" i="11"/>
  <c r="H49" i="11"/>
  <c r="C58" i="11" l="1"/>
  <c r="C57" i="11" s="1"/>
  <c r="C56" i="11" s="1"/>
  <c r="C55" i="11" s="1"/>
  <c r="L50" i="11"/>
  <c r="F50" i="11"/>
  <c r="C61" i="11"/>
  <c r="H50" i="11"/>
  <c r="C63" i="11"/>
  <c r="M50" i="11"/>
  <c r="K50" i="11"/>
  <c r="G50" i="11"/>
  <c r="C62" i="11"/>
  <c r="D50" i="11"/>
  <c r="J50" i="11"/>
  <c r="I50" i="11"/>
  <c r="C64" i="11"/>
  <c r="G2" i="8"/>
  <c r="G33" i="8"/>
  <c r="G26" i="8"/>
  <c r="G22" i="8"/>
  <c r="G19" i="8"/>
  <c r="G18" i="8"/>
  <c r="G15" i="8"/>
  <c r="G14" i="8"/>
  <c r="G11" i="8"/>
  <c r="G10" i="8"/>
  <c r="G7" i="8"/>
  <c r="G6" i="8"/>
  <c r="G3" i="8"/>
  <c r="B34" i="8"/>
  <c r="C34" i="8" s="1"/>
  <c r="D34" i="8" s="1"/>
  <c r="B33" i="8"/>
  <c r="C33" i="8" s="1"/>
  <c r="D33" i="8" s="1"/>
  <c r="B32" i="8"/>
  <c r="C32" i="8" s="1"/>
  <c r="D32" i="8" s="1"/>
  <c r="B31" i="8"/>
  <c r="C31" i="8" s="1"/>
  <c r="D31" i="8" s="1"/>
  <c r="C30" i="8"/>
  <c r="D30" i="8" s="1"/>
  <c r="B30" i="8"/>
  <c r="B29" i="8"/>
  <c r="C29" i="8" s="1"/>
  <c r="D29" i="8" s="1"/>
  <c r="C28" i="8"/>
  <c r="D28" i="8" s="1"/>
  <c r="B28" i="8"/>
  <c r="B27" i="8"/>
  <c r="C27" i="8" s="1"/>
  <c r="D27" i="8" s="1"/>
  <c r="C26" i="8"/>
  <c r="D26" i="8" s="1"/>
  <c r="B26" i="8"/>
  <c r="B25" i="8"/>
  <c r="C25" i="8" s="1"/>
  <c r="D25" i="8" s="1"/>
  <c r="C24" i="8"/>
  <c r="D24" i="8" s="1"/>
  <c r="B24" i="8"/>
  <c r="B23" i="8"/>
  <c r="C23" i="8" s="1"/>
  <c r="D23" i="8" s="1"/>
  <c r="C22" i="8"/>
  <c r="D22" i="8" s="1"/>
  <c r="B22" i="8"/>
  <c r="B21" i="8"/>
  <c r="C21" i="8" s="1"/>
  <c r="D21" i="8" s="1"/>
  <c r="C20" i="8"/>
  <c r="D20" i="8" s="1"/>
  <c r="B20" i="8"/>
  <c r="B19" i="8"/>
  <c r="C19" i="8" s="1"/>
  <c r="D19" i="8" s="1"/>
  <c r="C18" i="8"/>
  <c r="D18" i="8" s="1"/>
  <c r="B18" i="8"/>
  <c r="B17" i="8"/>
  <c r="C17" i="8" s="1"/>
  <c r="D17" i="8" s="1"/>
  <c r="C16" i="8"/>
  <c r="D16" i="8" s="1"/>
  <c r="B16" i="8"/>
  <c r="B15" i="8"/>
  <c r="C15" i="8" s="1"/>
  <c r="D15" i="8" s="1"/>
  <c r="C14" i="8"/>
  <c r="D14" i="8" s="1"/>
  <c r="B14" i="8"/>
  <c r="B13" i="8"/>
  <c r="C13" i="8" s="1"/>
  <c r="D13" i="8" s="1"/>
  <c r="C12" i="8"/>
  <c r="D12" i="8" s="1"/>
  <c r="B12" i="8"/>
  <c r="B11" i="8"/>
  <c r="C11" i="8" s="1"/>
  <c r="D11" i="8" s="1"/>
  <c r="C10" i="8"/>
  <c r="D10" i="8" s="1"/>
  <c r="B10" i="8"/>
  <c r="B9" i="8"/>
  <c r="C9" i="8" s="1"/>
  <c r="D9" i="8" s="1"/>
  <c r="C8" i="8"/>
  <c r="D8" i="8" s="1"/>
  <c r="B8" i="8"/>
  <c r="B7" i="8"/>
  <c r="C7" i="8" s="1"/>
  <c r="D7" i="8" s="1"/>
  <c r="C6" i="8"/>
  <c r="D6" i="8" s="1"/>
  <c r="B6" i="8"/>
  <c r="B5" i="8"/>
  <c r="C5" i="8" s="1"/>
  <c r="D5" i="8" s="1"/>
  <c r="C4" i="8"/>
  <c r="D4" i="8" s="1"/>
  <c r="B4" i="8"/>
  <c r="B3" i="8"/>
  <c r="C3" i="8" s="1"/>
  <c r="D3" i="8" s="1"/>
  <c r="C2" i="8"/>
  <c r="D2" i="8" s="1"/>
  <c r="B2" i="8"/>
  <c r="C10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9" i="7"/>
  <c r="F8" i="7"/>
  <c r="F7" i="7"/>
  <c r="F6" i="7"/>
  <c r="F5" i="7"/>
  <c r="F4" i="7"/>
  <c r="F3" i="7"/>
  <c r="B34" i="7"/>
  <c r="C34" i="7" s="1"/>
  <c r="D34" i="7" s="1"/>
  <c r="B33" i="7"/>
  <c r="C33" i="7" s="1"/>
  <c r="D33" i="7" s="1"/>
  <c r="B32" i="7"/>
  <c r="C32" i="7" s="1"/>
  <c r="D32" i="7" s="1"/>
  <c r="B31" i="7"/>
  <c r="C31" i="7" s="1"/>
  <c r="D31" i="7" s="1"/>
  <c r="B30" i="7"/>
  <c r="C30" i="7" s="1"/>
  <c r="D30" i="7" s="1"/>
  <c r="B29" i="7"/>
  <c r="C29" i="7" s="1"/>
  <c r="D29" i="7" s="1"/>
  <c r="B28" i="7"/>
  <c r="C28" i="7" s="1"/>
  <c r="D28" i="7" s="1"/>
  <c r="B27" i="7"/>
  <c r="C27" i="7" s="1"/>
  <c r="D27" i="7" s="1"/>
  <c r="B26" i="7"/>
  <c r="C26" i="7" s="1"/>
  <c r="D26" i="7" s="1"/>
  <c r="B25" i="7"/>
  <c r="C25" i="7" s="1"/>
  <c r="D25" i="7" s="1"/>
  <c r="B24" i="7"/>
  <c r="C24" i="7" s="1"/>
  <c r="D24" i="7" s="1"/>
  <c r="B23" i="7"/>
  <c r="C23" i="7" s="1"/>
  <c r="D23" i="7" s="1"/>
  <c r="B22" i="7"/>
  <c r="C22" i="7" s="1"/>
  <c r="D22" i="7" s="1"/>
  <c r="B21" i="7"/>
  <c r="C21" i="7" s="1"/>
  <c r="D21" i="7" s="1"/>
  <c r="B20" i="7"/>
  <c r="C20" i="7" s="1"/>
  <c r="D20" i="7" s="1"/>
  <c r="B19" i="7"/>
  <c r="C19" i="7" s="1"/>
  <c r="D19" i="7" s="1"/>
  <c r="B18" i="7"/>
  <c r="C18" i="7" s="1"/>
  <c r="D18" i="7" s="1"/>
  <c r="B17" i="7"/>
  <c r="C17" i="7" s="1"/>
  <c r="D17" i="7" s="1"/>
  <c r="B16" i="7"/>
  <c r="C16" i="7" s="1"/>
  <c r="D16" i="7" s="1"/>
  <c r="B15" i="7"/>
  <c r="C15" i="7" s="1"/>
  <c r="D15" i="7" s="1"/>
  <c r="B14" i="7"/>
  <c r="C14" i="7" s="1"/>
  <c r="D14" i="7" s="1"/>
  <c r="B13" i="7"/>
  <c r="C13" i="7" s="1"/>
  <c r="D13" i="7" s="1"/>
  <c r="B12" i="7"/>
  <c r="C12" i="7" s="1"/>
  <c r="D12" i="7" s="1"/>
  <c r="B11" i="7"/>
  <c r="C11" i="7" s="1"/>
  <c r="D11" i="7" s="1"/>
  <c r="B10" i="7"/>
  <c r="B9" i="7"/>
  <c r="C9" i="7" s="1"/>
  <c r="D9" i="7" s="1"/>
  <c r="B8" i="7"/>
  <c r="C8" i="7" s="1"/>
  <c r="D8" i="7" s="1"/>
  <c r="B7" i="7"/>
  <c r="C7" i="7" s="1"/>
  <c r="D7" i="7" s="1"/>
  <c r="B6" i="7"/>
  <c r="C6" i="7" s="1"/>
  <c r="D6" i="7" s="1"/>
  <c r="B5" i="7"/>
  <c r="C5" i="7" s="1"/>
  <c r="D5" i="7" s="1"/>
  <c r="B4" i="7"/>
  <c r="C4" i="7" s="1"/>
  <c r="D4" i="7" s="1"/>
  <c r="B3" i="7"/>
  <c r="C3" i="7" s="1"/>
  <c r="D3" i="7" s="1"/>
  <c r="B2" i="7"/>
  <c r="C2" i="7" s="1"/>
  <c r="D2" i="7" s="1"/>
  <c r="G30" i="8" l="1"/>
  <c r="G23" i="8"/>
  <c r="G27" i="8"/>
  <c r="G31" i="8"/>
  <c r="G4" i="8"/>
  <c r="G8" i="8"/>
  <c r="G12" i="8"/>
  <c r="G16" i="8"/>
  <c r="G20" i="8"/>
  <c r="G24" i="8"/>
  <c r="G28" i="8"/>
  <c r="G32" i="8"/>
  <c r="G5" i="8"/>
  <c r="G9" i="8"/>
  <c r="G13" i="8"/>
  <c r="G17" i="8"/>
  <c r="G21" i="8"/>
  <c r="G25" i="8"/>
  <c r="G29" i="8"/>
  <c r="G34" i="8"/>
  <c r="D10" i="7"/>
  <c r="F10" i="7" s="1"/>
  <c r="H24" i="8" l="1"/>
  <c r="H20" i="8"/>
  <c r="H34" i="8"/>
  <c r="H32" i="8"/>
  <c r="H17" i="8"/>
  <c r="H21" i="8"/>
  <c r="G38" i="8"/>
  <c r="G37" i="8"/>
  <c r="H4" i="8" s="1"/>
  <c r="G36" i="8"/>
  <c r="G39" i="8" s="1"/>
  <c r="H28" i="8" l="1"/>
  <c r="H13" i="8"/>
  <c r="H31" i="8"/>
  <c r="H14" i="8"/>
  <c r="H26" i="8"/>
  <c r="H10" i="8"/>
  <c r="H15" i="8"/>
  <c r="H18" i="8"/>
  <c r="H6" i="8"/>
  <c r="H19" i="8"/>
  <c r="H7" i="8"/>
  <c r="H22" i="8"/>
  <c r="H33" i="8"/>
  <c r="H3" i="8"/>
  <c r="H2" i="8"/>
  <c r="H11" i="8"/>
  <c r="H5" i="8"/>
  <c r="H30" i="8"/>
  <c r="H8" i="8"/>
  <c r="H25" i="8"/>
  <c r="H23" i="8"/>
  <c r="H12" i="8"/>
  <c r="H9" i="8"/>
  <c r="H29" i="8"/>
  <c r="H27" i="8"/>
  <c r="H16" i="8"/>
  <c r="A4" i="5"/>
  <c r="A5" i="5" l="1"/>
  <c r="A6" i="5" l="1"/>
  <c r="A7" i="5" s="1"/>
  <c r="A8" i="5" l="1"/>
  <c r="A9" i="5" s="1"/>
  <c r="A10" i="5" l="1"/>
  <c r="A11" i="5" s="1"/>
  <c r="A12" i="5" l="1"/>
  <c r="A13" i="5" s="1"/>
  <c r="A14" i="5" l="1"/>
  <c r="A15" i="5" s="1"/>
  <c r="A16" i="5" l="1"/>
  <c r="A17" i="5" s="1"/>
  <c r="A18" i="5" l="1"/>
  <c r="A19" i="5" s="1"/>
  <c r="A20" i="5" s="1"/>
  <c r="A21" i="5" s="1"/>
  <c r="A22" i="5" s="1"/>
  <c r="A23" i="5" s="1"/>
  <c r="E29" i="5" l="1"/>
  <c r="E28" i="5"/>
  <c r="E27" i="5"/>
  <c r="C27" i="5"/>
  <c r="B29" i="5"/>
  <c r="D29" i="5"/>
  <c r="D28" i="5"/>
  <c r="D27" i="5"/>
  <c r="C29" i="5"/>
  <c r="C28" i="5"/>
  <c r="B28" i="5"/>
  <c r="F28" i="5"/>
  <c r="F29" i="5"/>
  <c r="F27" i="5"/>
  <c r="G29" i="5"/>
  <c r="G28" i="5"/>
  <c r="G27" i="5"/>
  <c r="H29" i="5"/>
  <c r="H28" i="5"/>
  <c r="H27" i="5"/>
  <c r="I29" i="5"/>
  <c r="I28" i="5"/>
  <c r="I27" i="5"/>
  <c r="J29" i="5"/>
  <c r="J27" i="5"/>
  <c r="J28" i="5"/>
  <c r="K28" i="5"/>
  <c r="K29" i="5"/>
  <c r="K27" i="5"/>
  <c r="L29" i="5"/>
  <c r="L28" i="5"/>
  <c r="L27" i="5"/>
  <c r="M29" i="5"/>
  <c r="M28" i="5"/>
  <c r="M27" i="5"/>
  <c r="E28" i="11" l="1"/>
  <c r="E44" i="11" s="1"/>
  <c r="E47" i="11" s="1"/>
  <c r="E29" i="11"/>
  <c r="E45" i="11" s="1"/>
  <c r="E48" i="11" s="1"/>
  <c r="E49" i="11" l="1"/>
  <c r="C60" i="11" s="1"/>
  <c r="E51" i="11"/>
  <c r="C75" i="11" l="1"/>
  <c r="C74" i="11"/>
  <c r="C76" i="11"/>
  <c r="C78" i="11"/>
  <c r="C77" i="11"/>
  <c r="E50" i="11"/>
  <c r="G3" i="7"/>
  <c r="G2" i="7"/>
  <c r="G6" i="7"/>
  <c r="Q71" i="11"/>
  <c r="G9" i="7"/>
  <c r="G5" i="7"/>
  <c r="G25" i="7"/>
  <c r="Q55" i="11"/>
  <c r="G13" i="7"/>
  <c r="G26" i="7"/>
  <c r="G23" i="7"/>
  <c r="Q67" i="11"/>
  <c r="G16" i="7"/>
  <c r="G17" i="7"/>
  <c r="Q68" i="11"/>
  <c r="Q59" i="11"/>
  <c r="G18" i="7"/>
  <c r="G31" i="7"/>
  <c r="Q62" i="11"/>
  <c r="Q65" i="11"/>
  <c r="G14" i="7"/>
  <c r="G33" i="7"/>
  <c r="Q66" i="11"/>
  <c r="G22" i="7"/>
  <c r="Q57" i="11"/>
  <c r="G20" i="7"/>
  <c r="G27" i="7"/>
  <c r="G19" i="7"/>
  <c r="Q72" i="11"/>
  <c r="Q64" i="11"/>
  <c r="G24" i="7"/>
  <c r="Q70" i="11"/>
  <c r="G8" i="7"/>
  <c r="G7" i="7"/>
  <c r="G30" i="7"/>
  <c r="G15" i="7"/>
  <c r="Q63" i="11"/>
  <c r="Q58" i="11"/>
  <c r="G10" i="7"/>
  <c r="G32" i="7"/>
  <c r="Q69" i="11"/>
  <c r="G21" i="7"/>
  <c r="Q61" i="11"/>
  <c r="Q60" i="11"/>
  <c r="G4" i="7"/>
  <c r="Q56" i="11"/>
  <c r="G11" i="7"/>
  <c r="G12" i="7"/>
  <c r="G29" i="7"/>
  <c r="G34" i="7"/>
  <c r="G28" i="7"/>
  <c r="G37" i="7" l="1"/>
  <c r="G36" i="7"/>
  <c r="G38" i="7"/>
  <c r="H2" i="7" l="1"/>
  <c r="H12" i="7"/>
  <c r="H28" i="7"/>
  <c r="H6" i="7"/>
  <c r="H8" i="7"/>
  <c r="H27" i="7"/>
  <c r="H29" i="7"/>
  <c r="H18" i="7"/>
  <c r="H11" i="7"/>
  <c r="H19" i="7"/>
  <c r="H21" i="7"/>
  <c r="H31" i="7"/>
  <c r="H25" i="7"/>
  <c r="H23" i="7"/>
  <c r="H16" i="7"/>
  <c r="H3" i="7"/>
  <c r="H20" i="7"/>
  <c r="H13" i="7"/>
  <c r="H33" i="7"/>
  <c r="H9" i="7"/>
  <c r="H4" i="7"/>
  <c r="H5" i="7"/>
  <c r="H32" i="7"/>
  <c r="H26" i="7"/>
  <c r="H24" i="7"/>
  <c r="H22" i="7"/>
  <c r="H15" i="7"/>
  <c r="H14" i="7"/>
  <c r="H34" i="7"/>
  <c r="H7" i="7"/>
  <c r="H30" i="7"/>
  <c r="H17" i="7"/>
  <c r="H10" i="7"/>
  <c r="G39" i="7"/>
  <c r="H38" i="7" l="1"/>
  <c r="H36" i="7"/>
  <c r="H37" i="7"/>
  <c r="H39" i="7" l="1"/>
  <c r="E8" i="7" s="1"/>
  <c r="I13" i="7" s="1"/>
  <c r="I8" i="7" l="1"/>
  <c r="I28" i="7"/>
  <c r="I18" i="7"/>
  <c r="I9" i="7"/>
  <c r="I6" i="7"/>
  <c r="I34" i="7"/>
  <c r="I15" i="7"/>
  <c r="I30" i="7"/>
  <c r="I32" i="7"/>
  <c r="I21" i="7"/>
  <c r="I12" i="7"/>
  <c r="I3" i="7"/>
  <c r="I11" i="7"/>
  <c r="I7" i="7"/>
  <c r="I10" i="7"/>
  <c r="I4" i="7"/>
  <c r="I22" i="7"/>
  <c r="I26" i="7"/>
  <c r="I33" i="7"/>
  <c r="I27" i="7"/>
  <c r="I29" i="7"/>
  <c r="I24" i="7"/>
  <c r="I17" i="7"/>
  <c r="I25" i="7"/>
  <c r="I23" i="7"/>
  <c r="I19" i="7"/>
  <c r="I20" i="7"/>
  <c r="I31" i="7"/>
  <c r="I5" i="7"/>
  <c r="I2" i="7"/>
  <c r="I14" i="7"/>
  <c r="I16" i="7"/>
  <c r="H37" i="8"/>
  <c r="H38" i="8"/>
  <c r="H36" i="8"/>
  <c r="H39" i="8" s="1"/>
  <c r="I15" i="8" l="1"/>
  <c r="E8" i="8"/>
  <c r="I26" i="8"/>
  <c r="J26" i="8" s="1"/>
  <c r="I14" i="8"/>
  <c r="I31" i="8"/>
  <c r="I29" i="8"/>
  <c r="J29" i="8" s="1"/>
  <c r="I16" i="8"/>
  <c r="I25" i="8"/>
  <c r="J25" i="8" s="1"/>
  <c r="I11" i="8"/>
  <c r="J11" i="8" s="1"/>
  <c r="I33" i="8"/>
  <c r="J33" i="8" s="1"/>
  <c r="I13" i="8"/>
  <c r="J13" i="8" s="1"/>
  <c r="J31" i="8"/>
  <c r="J14" i="8"/>
  <c r="J16" i="8"/>
  <c r="J15" i="8"/>
  <c r="I12" i="8" l="1"/>
  <c r="J12" i="8" s="1"/>
  <c r="I28" i="8"/>
  <c r="J28" i="8" s="1"/>
  <c r="I32" i="8"/>
  <c r="J32" i="8" s="1"/>
  <c r="I5" i="8"/>
  <c r="J5" i="8" s="1"/>
  <c r="I17" i="8"/>
  <c r="J17" i="8" s="1"/>
  <c r="I21" i="8"/>
  <c r="J21" i="8" s="1"/>
  <c r="I18" i="8"/>
  <c r="J18" i="8" s="1"/>
  <c r="I4" i="8"/>
  <c r="J4" i="8" s="1"/>
  <c r="I3" i="8"/>
  <c r="J3" i="8" s="1"/>
  <c r="I6" i="8"/>
  <c r="J6" i="8" s="1"/>
  <c r="I34" i="8"/>
  <c r="J34" i="8" s="1"/>
  <c r="I8" i="8"/>
  <c r="J8" i="8" s="1"/>
  <c r="I9" i="8"/>
  <c r="J9" i="8" s="1"/>
  <c r="I19" i="8"/>
  <c r="J19" i="8" s="1"/>
  <c r="I22" i="8"/>
  <c r="J22" i="8" s="1"/>
  <c r="I23" i="8"/>
  <c r="J23" i="8" s="1"/>
  <c r="I10" i="8"/>
  <c r="J10" i="8" s="1"/>
  <c r="I24" i="8"/>
  <c r="J24" i="8" s="1"/>
  <c r="I7" i="8"/>
  <c r="J7" i="8" s="1"/>
  <c r="I30" i="8"/>
  <c r="J30" i="8" s="1"/>
  <c r="I2" i="8"/>
  <c r="J2" i="8" s="1"/>
  <c r="I27" i="8"/>
  <c r="J27" i="8" s="1"/>
  <c r="I20" i="8"/>
  <c r="J20" i="8" s="1"/>
  <c r="J36" i="8"/>
</calcChain>
</file>

<file path=xl/sharedStrings.xml><?xml version="1.0" encoding="utf-8"?>
<sst xmlns="http://schemas.openxmlformats.org/spreadsheetml/2006/main" count="124" uniqueCount="60">
  <si>
    <t>Set V, I intercept points</t>
  </si>
  <si>
    <t>V axis: power supply at rail (ignore Ra)</t>
  </si>
  <si>
    <t>Then use Ra + Rk to get Ia</t>
  </si>
  <si>
    <t>Ra (kOhms)</t>
  </si>
  <si>
    <t>Rk (kOhms)</t>
  </si>
  <si>
    <t>Ra + Rk (kOhms)</t>
  </si>
  <si>
    <t>Ia (mA)</t>
  </si>
  <si>
    <t>Va</t>
  </si>
  <si>
    <t>Ia</t>
  </si>
  <si>
    <t>y = mx + b</t>
  </si>
  <si>
    <t>= m</t>
  </si>
  <si>
    <t>= b</t>
  </si>
  <si>
    <t>c2</t>
  </si>
  <si>
    <t>c1</t>
  </si>
  <si>
    <t>b</t>
  </si>
  <si>
    <t>c0</t>
  </si>
  <si>
    <t>x= (-b +/- sqrt (b^2 - 4ac)) / (2a)</t>
  </si>
  <si>
    <t>a</t>
  </si>
  <si>
    <t>c</t>
  </si>
  <si>
    <t>2nd order polynomial trendline</t>
  </si>
  <si>
    <t>equation: y = (c2 * x^2) + (c1 * x) + c0</t>
  </si>
  <si>
    <t>c2 =INDEX(LINEST(y,x^{1,2}),1,1)</t>
  </si>
  <si>
    <t>c1 =INDEX(LINEST(y,x^{1,2}),1,2)</t>
  </si>
  <si>
    <t>c0 =INDEX(LINEST(y,x^{1,2}),1,3)</t>
  </si>
  <si>
    <r>
      <t>y = c</t>
    </r>
    <r>
      <rPr>
        <i/>
        <vertAlign val="subscript"/>
        <sz val="11"/>
        <color rgb="FF000000"/>
        <rFont val="Calibri"/>
        <family val="2"/>
      </rPr>
      <t>2</t>
    </r>
    <r>
      <rPr>
        <i/>
        <sz val="11"/>
        <color rgb="FF000000"/>
        <rFont val="Calibri"/>
        <family val="2"/>
      </rPr>
      <t>x</t>
    </r>
    <r>
      <rPr>
        <i/>
        <vertAlign val="superscript"/>
        <sz val="11"/>
        <color rgb="FF000000"/>
        <rFont val="Calibri"/>
        <family val="2"/>
      </rPr>
      <t>2</t>
    </r>
    <r>
      <rPr>
        <i/>
        <sz val="11"/>
        <color rgb="FF000000"/>
        <rFont val="Calibri"/>
        <family val="2"/>
      </rPr>
      <t xml:space="preserve"> + c</t>
    </r>
    <r>
      <rPr>
        <i/>
        <vertAlign val="subscript"/>
        <sz val="11"/>
        <color rgb="FF000000"/>
        <rFont val="Calibri"/>
        <family val="2"/>
      </rPr>
      <t>1</t>
    </r>
    <r>
      <rPr>
        <i/>
        <sz val="11"/>
        <color rgb="FF000000"/>
        <rFont val="Calibri"/>
        <family val="2"/>
      </rPr>
      <t>x + c</t>
    </r>
    <r>
      <rPr>
        <i/>
        <vertAlign val="subscript"/>
        <sz val="11"/>
        <color rgb="FF000000"/>
        <rFont val="Calibri"/>
        <family val="2"/>
      </rPr>
      <t>0</t>
    </r>
  </si>
  <si>
    <t>use quadratic equation to solve for x [Va value] and compute for Ia</t>
  </si>
  <si>
    <r>
      <t>= c</t>
    </r>
    <r>
      <rPr>
        <i/>
        <vertAlign val="subscript"/>
        <sz val="11"/>
        <color rgb="FF000000"/>
        <rFont val="Calibri"/>
        <family val="2"/>
      </rPr>
      <t>2</t>
    </r>
  </si>
  <si>
    <r>
      <t>= c</t>
    </r>
    <r>
      <rPr>
        <i/>
        <vertAlign val="subscript"/>
        <sz val="11"/>
        <color rgb="FF000000"/>
        <rFont val="Calibri"/>
        <family val="2"/>
      </rPr>
      <t>1</t>
    </r>
  </si>
  <si>
    <r>
      <t>= c</t>
    </r>
    <r>
      <rPr>
        <i/>
        <vertAlign val="subscript"/>
        <sz val="11"/>
        <color rgb="FF000000"/>
        <rFont val="Calibri"/>
        <family val="2"/>
      </rPr>
      <t>0</t>
    </r>
  </si>
  <si>
    <t>Vg</t>
  </si>
  <si>
    <t>Va (Ra+Rk)</t>
  </si>
  <si>
    <t>Ia (Ra+Rk)</t>
  </si>
  <si>
    <t>intersections with Rk load line</t>
  </si>
  <si>
    <t>increment</t>
  </si>
  <si>
    <t>omega</t>
  </si>
  <si>
    <t>sine</t>
  </si>
  <si>
    <t>Vin</t>
  </si>
  <si>
    <t>max</t>
  </si>
  <si>
    <t>avg</t>
  </si>
  <si>
    <t>min</t>
  </si>
  <si>
    <t>Vout</t>
  </si>
  <si>
    <t>bias grid</t>
  </si>
  <si>
    <t>Vin to grid</t>
  </si>
  <si>
    <t>pre-gain</t>
  </si>
  <si>
    <t>Vout ac</t>
  </si>
  <si>
    <t>post-gain</t>
  </si>
  <si>
    <t>b^2-4ac</t>
  </si>
  <si>
    <t>a =c2</t>
  </si>
  <si>
    <t>b=c1-m</t>
  </si>
  <si>
    <r>
      <t>c=c0-</t>
    </r>
    <r>
      <rPr>
        <b/>
        <sz val="11"/>
        <color rgb="FF000000"/>
        <rFont val="Calibri"/>
        <family val="2"/>
      </rPr>
      <t>b</t>
    </r>
  </si>
  <si>
    <r>
      <t>c2x^2 + (c1-</t>
    </r>
    <r>
      <rPr>
        <b/>
        <sz val="11"/>
        <color rgb="FF000000"/>
        <rFont val="Calibri"/>
        <family val="2"/>
      </rPr>
      <t>m</t>
    </r>
    <r>
      <rPr>
        <sz val="11"/>
        <color rgb="FF000000"/>
        <rFont val="Calibri"/>
        <family val="2"/>
      </rPr>
      <t>)x + (c0-</t>
    </r>
    <r>
      <rPr>
        <b/>
        <sz val="11"/>
        <color rgb="FF000000"/>
        <rFont val="Calibri"/>
        <family val="2"/>
      </rPr>
      <t>b</t>
    </r>
    <r>
      <rPr>
        <sz val="11"/>
        <color rgb="FF000000"/>
        <rFont val="Calibri"/>
        <family val="2"/>
      </rPr>
      <t>) = 0</t>
    </r>
  </si>
  <si>
    <t xml:space="preserve">intersection of load line with curve of Vg line… </t>
  </si>
  <si>
    <t>solve for x (which is Va) in quadratic</t>
  </si>
  <si>
    <t>then use x to solve for y (which is Ia)</t>
  </si>
  <si>
    <t>&lt;-- checking for imaginary result</t>
  </si>
  <si>
    <t>diff</t>
  </si>
  <si>
    <t>Plate 
voltage</t>
  </si>
  <si>
    <t>equation for load line</t>
  </si>
  <si>
    <t>draw the load line</t>
  </si>
  <si>
    <t>abs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</si>
</sst>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%"/>
  </numFmts>
  <fonts count="12" x14ac:knownFonts="1">
    <font>
      <sz val="11"/>
      <color rgb="FF000000"/>
      <name val="Calibri"/>
      <family val="2"/>
    </font>
    <font>
      <b/>
      <sz val="11"/>
      <color rgb="FFFA7D00"/>
      <name val="Calibri"/>
      <family val="2"/>
    </font>
    <font>
      <vertAlign val="subscript"/>
      <sz val="11"/>
      <color rgb="FF000000"/>
      <name val="Calibri"/>
      <family val="2"/>
    </font>
    <font>
      <b/>
      <sz val="11"/>
      <color rgb="FF3F3F3F"/>
      <name val="Calibri"/>
      <family val="2"/>
    </font>
    <font>
      <sz val="11"/>
      <color rgb="FF3F3F76"/>
      <name val="Calibri"/>
      <family val="2"/>
    </font>
    <font>
      <b/>
      <sz val="11"/>
      <color rgb="FF000000"/>
      <name val="Calibri"/>
      <family val="2"/>
    </font>
    <font>
      <sz val="11"/>
      <color rgb="FFFA7D00"/>
      <name val="Calibri"/>
      <family val="2"/>
    </font>
    <font>
      <i/>
      <sz val="11"/>
      <color rgb="FF000000"/>
      <name val="Calibri"/>
      <family val="2"/>
    </font>
    <font>
      <i/>
      <vertAlign val="superscript"/>
      <sz val="11"/>
      <color rgb="FF000000"/>
      <name val="Calibri"/>
      <family val="2"/>
    </font>
    <font>
      <i/>
      <vertAlign val="subscript"/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vertAlign val="superscript"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F2F2F2"/>
        <bgColor rgb="FFFFFFFF"/>
      </patternFill>
    </fill>
    <fill>
      <patternFill patternType="solid">
        <fgColor rgb="FFFFCC99"/>
        <bgColor rgb="FFFFFFFF"/>
      </patternFill>
    </fill>
    <fill>
      <patternFill patternType="none"/>
    </fill>
    <fill>
      <patternFill patternType="solid">
        <fgColor rgb="FFFFFF00"/>
        <bgColor rgb="FFFFFFFF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3" fillId="3" borderId="2" applyNumberFormat="0" applyAlignment="0" applyProtection="0"/>
    <xf numFmtId="0" fontId="4" fillId="4" borderId="3" applyNumberFormat="0" applyAlignment="0" applyProtection="0"/>
    <xf numFmtId="0" fontId="6" fillId="5" borderId="4" applyNumberFormat="0" applyFill="0" applyAlignment="0" applyProtection="0"/>
    <xf numFmtId="0" fontId="10" fillId="7" borderId="6" applyNumberFormat="0" applyAlignment="0" applyProtection="0"/>
  </cellStyleXfs>
  <cellXfs count="22">
    <xf numFmtId="0" fontId="0" fillId="0" borderId="0" xfId="0"/>
    <xf numFmtId="0" fontId="1" fillId="2" borderId="1" xfId="1"/>
    <xf numFmtId="0" fontId="4" fillId="4" borderId="3" xfId="3"/>
    <xf numFmtId="0" fontId="0" fillId="0" borderId="0" xfId="0" applyAlignment="1">
      <alignment horizontal="right"/>
    </xf>
    <xf numFmtId="0" fontId="0" fillId="6" borderId="5" xfId="0" applyFill="1" applyBorder="1"/>
    <xf numFmtId="0" fontId="5" fillId="0" borderId="0" xfId="0" applyFont="1"/>
    <xf numFmtId="2" fontId="1" fillId="2" borderId="1" xfId="1" applyNumberFormat="1"/>
    <xf numFmtId="0" fontId="1" fillId="3" borderId="3" xfId="1" applyFill="1" applyBorder="1"/>
    <xf numFmtId="0" fontId="7" fillId="0" borderId="0" xfId="0" applyFont="1"/>
    <xf numFmtId="0" fontId="7" fillId="0" borderId="0" xfId="0" quotePrefix="1" applyFont="1"/>
    <xf numFmtId="0" fontId="11" fillId="0" borderId="0" xfId="0" applyFont="1"/>
    <xf numFmtId="0" fontId="0" fillId="0" borderId="0" xfId="0" applyAlignment="1">
      <alignment horizontal="center"/>
    </xf>
    <xf numFmtId="0" fontId="2" fillId="0" borderId="0" xfId="0" applyFont="1"/>
    <xf numFmtId="9" fontId="4" fillId="4" borderId="3" xfId="3" applyNumberFormat="1"/>
    <xf numFmtId="0" fontId="10" fillId="7" borderId="6" xfId="5"/>
    <xf numFmtId="0" fontId="10" fillId="7" borderId="7" xfId="5" applyBorder="1"/>
    <xf numFmtId="0" fontId="0" fillId="8" borderId="0" xfId="0" applyFill="1"/>
    <xf numFmtId="2" fontId="1" fillId="3" borderId="3" xfId="1" applyNumberFormat="1" applyFill="1" applyBorder="1"/>
    <xf numFmtId="0" fontId="0" fillId="0" borderId="0" xfId="0" applyAlignment="1">
      <alignment wrapText="1"/>
    </xf>
    <xf numFmtId="0" fontId="0" fillId="5" borderId="5" xfId="0" applyFill="1" applyBorder="1"/>
    <xf numFmtId="164" fontId="4" fillId="4" borderId="3" xfId="3" applyNumberFormat="1"/>
    <xf numFmtId="2" fontId="4" fillId="4" borderId="3" xfId="3" applyNumberFormat="1"/>
  </cellXfs>
  <cellStyles count="6">
    <cellStyle name="Calculation" xfId="1" builtinId="22" customBuiltin="1"/>
    <cellStyle name="Check Cell" xfId="5" builtinId="23"/>
    <cellStyle name="Input" xfId="3" builtinId="20" customBuiltin="1"/>
    <cellStyle name="Linked Cell" xfId="4" builtinId="24" customBuiltin="1"/>
    <cellStyle name="Normal" xfId="0" builtinId="0" customBuiltin="1"/>
    <cellStyle name="Output" xfId="2" builtinId="21" customBuiltin="1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  <ext uri="smNativeData">
      <pm:charStyles xmlns:pm="smNativeData" id="1737163709" count="1">
        <pm:charStyle name="Normal" fontId="0" Id="1"/>
      </pm:charStyles>
      <pm:colors xmlns:pm="smNativeData" id="1737163709" count="6">
        <pm:color name="Color 24" rgb="FA7D00"/>
        <pm:color name="Color 25" rgb="3F3F3F"/>
        <pm:color name="Color 26" rgb="3F3F76"/>
        <pm:color name="Color 27" rgb="F2F2F2"/>
        <pm:color name="Color 28" rgb="FFCC99"/>
        <pm:color name="Color 29" rgb="FF8001"/>
      </pm:color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'6n2p'!$B$2:$B$23</c:f>
              <c:numCache>
                <c:formatCode>General</c:formatCode>
                <c:ptCount val="22"/>
                <c:pt idx="0">
                  <c:v>0</c:v>
                </c:pt>
                <c:pt idx="1">
                  <c:v>1.45</c:v>
                </c:pt>
                <c:pt idx="2">
                  <c:v>2.0499999999999998</c:v>
                </c:pt>
                <c:pt idx="3">
                  <c:v>2.85</c:v>
                </c:pt>
                <c:pt idx="4">
                  <c:v>3.5</c:v>
                </c:pt>
                <c:pt idx="5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CD0-4D2E-A1A7-091D729F7E6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'6n2p'!$C$2:$C$23</c:f>
              <c:numCache>
                <c:formatCode>General</c:formatCode>
                <c:ptCount val="22"/>
                <c:pt idx="0">
                  <c:v>0</c:v>
                </c:pt>
                <c:pt idx="1">
                  <c:v>0.73</c:v>
                </c:pt>
                <c:pt idx="2">
                  <c:v>1.25</c:v>
                </c:pt>
                <c:pt idx="3">
                  <c:v>2</c:v>
                </c:pt>
                <c:pt idx="4">
                  <c:v>2.58</c:v>
                </c:pt>
                <c:pt idx="5">
                  <c:v>3.1</c:v>
                </c:pt>
                <c:pt idx="6">
                  <c:v>3.55</c:v>
                </c:pt>
                <c:pt idx="7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D0-4D2E-A1A7-091D729F7E6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'6n2p'!$D$2:$D$23</c:f>
              <c:numCache>
                <c:formatCode>General</c:formatCode>
                <c:ptCount val="22"/>
                <c:pt idx="0">
                  <c:v>0</c:v>
                </c:pt>
                <c:pt idx="1">
                  <c:v>0.55000000000000004</c:v>
                </c:pt>
                <c:pt idx="2">
                  <c:v>0.76</c:v>
                </c:pt>
                <c:pt idx="3">
                  <c:v>1.1499999999999999</c:v>
                </c:pt>
                <c:pt idx="4">
                  <c:v>1.53</c:v>
                </c:pt>
                <c:pt idx="5">
                  <c:v>1.95</c:v>
                </c:pt>
                <c:pt idx="6">
                  <c:v>2.42</c:v>
                </c:pt>
                <c:pt idx="7">
                  <c:v>2.9</c:v>
                </c:pt>
                <c:pt idx="8">
                  <c:v>3.4</c:v>
                </c:pt>
                <c:pt idx="9">
                  <c:v>3.85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CD0-4D2E-A1A7-091D729F7E6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'6n2p'!$E$2:$E$23</c:f>
              <c:numCache>
                <c:formatCode>General</c:formatCode>
                <c:ptCount val="22"/>
                <c:pt idx="0">
                  <c:v>1E-3</c:v>
                </c:pt>
                <c:pt idx="1">
                  <c:v>7.0000000000000007E-2</c:v>
                </c:pt>
                <c:pt idx="2">
                  <c:v>0.14000000000000001</c:v>
                </c:pt>
                <c:pt idx="3">
                  <c:v>0.33</c:v>
                </c:pt>
                <c:pt idx="4">
                  <c:v>0.56999999999999995</c:v>
                </c:pt>
                <c:pt idx="5">
                  <c:v>0.9</c:v>
                </c:pt>
                <c:pt idx="6">
                  <c:v>1.3</c:v>
                </c:pt>
                <c:pt idx="7">
                  <c:v>1.75</c:v>
                </c:pt>
                <c:pt idx="8">
                  <c:v>2.1800000000000002</c:v>
                </c:pt>
                <c:pt idx="9">
                  <c:v>2.62</c:v>
                </c:pt>
                <c:pt idx="10">
                  <c:v>3.1</c:v>
                </c:pt>
                <c:pt idx="11">
                  <c:v>3.55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CD0-4D2E-A1A7-091D729F7E6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'6n2p'!$F$2:$F$23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0.05</c:v>
                </c:pt>
                <c:pt idx="4">
                  <c:v>0.14000000000000001</c:v>
                </c:pt>
                <c:pt idx="5">
                  <c:v>0.28999999999999998</c:v>
                </c:pt>
                <c:pt idx="6">
                  <c:v>0.5</c:v>
                </c:pt>
                <c:pt idx="7">
                  <c:v>0.78</c:v>
                </c:pt>
                <c:pt idx="8">
                  <c:v>1.1000000000000001</c:v>
                </c:pt>
                <c:pt idx="9">
                  <c:v>1.45</c:v>
                </c:pt>
                <c:pt idx="10">
                  <c:v>1.87</c:v>
                </c:pt>
                <c:pt idx="11">
                  <c:v>2.2799999999999998</c:v>
                </c:pt>
                <c:pt idx="12">
                  <c:v>2.7</c:v>
                </c:pt>
                <c:pt idx="13">
                  <c:v>3.15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CD0-4D2E-A1A7-091D729F7E6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'6n2p'!$G$2:$G$23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0.04</c:v>
                </c:pt>
                <c:pt idx="5">
                  <c:v>0.09</c:v>
                </c:pt>
                <c:pt idx="6">
                  <c:v>0.18</c:v>
                </c:pt>
                <c:pt idx="7">
                  <c:v>0.28999999999999998</c:v>
                </c:pt>
                <c:pt idx="8">
                  <c:v>0.44000000000000006</c:v>
                </c:pt>
                <c:pt idx="9">
                  <c:v>0.64</c:v>
                </c:pt>
                <c:pt idx="10">
                  <c:v>0.90999999999999992</c:v>
                </c:pt>
                <c:pt idx="11">
                  <c:v>1.23</c:v>
                </c:pt>
                <c:pt idx="12">
                  <c:v>1.59</c:v>
                </c:pt>
                <c:pt idx="13">
                  <c:v>2</c:v>
                </c:pt>
                <c:pt idx="14">
                  <c:v>2.37</c:v>
                </c:pt>
                <c:pt idx="15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BCD0-4D2E-A1A7-091D729F7E6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'6n2p'!$H$2:$H$23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1E-3</c:v>
                </c:pt>
                <c:pt idx="6">
                  <c:v>0.04</c:v>
                </c:pt>
                <c:pt idx="7">
                  <c:v>0.08</c:v>
                </c:pt>
                <c:pt idx="8">
                  <c:v>0.15</c:v>
                </c:pt>
                <c:pt idx="9">
                  <c:v>0.24</c:v>
                </c:pt>
                <c:pt idx="10">
                  <c:v>0.37</c:v>
                </c:pt>
                <c:pt idx="11">
                  <c:v>0.54</c:v>
                </c:pt>
                <c:pt idx="12">
                  <c:v>0.76</c:v>
                </c:pt>
                <c:pt idx="13">
                  <c:v>1.02</c:v>
                </c:pt>
                <c:pt idx="14">
                  <c:v>1.32</c:v>
                </c:pt>
                <c:pt idx="15">
                  <c:v>1.67</c:v>
                </c:pt>
                <c:pt idx="16">
                  <c:v>2.0499999999999998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CD0-4D2E-A1A7-091D729F7E6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'6n2p'!$I$2:$I$23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1E-3</c:v>
                </c:pt>
                <c:pt idx="7">
                  <c:v>0.01</c:v>
                </c:pt>
                <c:pt idx="8">
                  <c:v>0.04</c:v>
                </c:pt>
                <c:pt idx="9">
                  <c:v>0.09</c:v>
                </c:pt>
                <c:pt idx="10">
                  <c:v>0.14000000000000001</c:v>
                </c:pt>
                <c:pt idx="11">
                  <c:v>0.24</c:v>
                </c:pt>
                <c:pt idx="12">
                  <c:v>0.36</c:v>
                </c:pt>
                <c:pt idx="13">
                  <c:v>0.54</c:v>
                </c:pt>
                <c:pt idx="14">
                  <c:v>0.75</c:v>
                </c:pt>
                <c:pt idx="15">
                  <c:v>1</c:v>
                </c:pt>
                <c:pt idx="16">
                  <c:v>1.29</c:v>
                </c:pt>
                <c:pt idx="17">
                  <c:v>1.6</c:v>
                </c:pt>
                <c:pt idx="18">
                  <c:v>1.95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BCD0-4D2E-A1A7-091D729F7E6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'6n2p'!$J$2:$J$23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1E-3</c:v>
                </c:pt>
                <c:pt idx="10">
                  <c:v>0.03</c:v>
                </c:pt>
                <c:pt idx="11">
                  <c:v>0.08</c:v>
                </c:pt>
                <c:pt idx="12">
                  <c:v>0.14000000000000001</c:v>
                </c:pt>
                <c:pt idx="13">
                  <c:v>0.22000000000000003</c:v>
                </c:pt>
                <c:pt idx="14">
                  <c:v>0.32</c:v>
                </c:pt>
                <c:pt idx="15">
                  <c:v>0.46000000000000008</c:v>
                </c:pt>
                <c:pt idx="16">
                  <c:v>0.64</c:v>
                </c:pt>
                <c:pt idx="17">
                  <c:v>0.86999999999999988</c:v>
                </c:pt>
                <c:pt idx="18">
                  <c:v>1.17</c:v>
                </c:pt>
                <c:pt idx="19">
                  <c:v>1.51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BCD0-4D2E-A1A7-091D729F7E6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'6n2p'!$K$2:$K$23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1E-3</c:v>
                </c:pt>
                <c:pt idx="12">
                  <c:v>0.05</c:v>
                </c:pt>
                <c:pt idx="13">
                  <c:v>0.1</c:v>
                </c:pt>
                <c:pt idx="14">
                  <c:v>0.16</c:v>
                </c:pt>
                <c:pt idx="15">
                  <c:v>0.23000000000000004</c:v>
                </c:pt>
                <c:pt idx="16">
                  <c:v>0.32</c:v>
                </c:pt>
                <c:pt idx="17">
                  <c:v>0.45</c:v>
                </c:pt>
                <c:pt idx="18">
                  <c:v>0.6</c:v>
                </c:pt>
                <c:pt idx="19">
                  <c:v>0.78</c:v>
                </c:pt>
                <c:pt idx="20">
                  <c:v>0.96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BCD0-4D2E-A1A7-091D729F7E6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'6n2p'!$L$2:$L$23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1E-3</c:v>
                </c:pt>
                <c:pt idx="14">
                  <c:v>1.4999999999999999E-2</c:v>
                </c:pt>
                <c:pt idx="15">
                  <c:v>0.06</c:v>
                </c:pt>
                <c:pt idx="16">
                  <c:v>0.13</c:v>
                </c:pt>
                <c:pt idx="17">
                  <c:v>0.22000000000000003</c:v>
                </c:pt>
                <c:pt idx="18">
                  <c:v>0.34</c:v>
                </c:pt>
                <c:pt idx="19">
                  <c:v>0.46000000000000008</c:v>
                </c:pt>
                <c:pt idx="20">
                  <c:v>0.61</c:v>
                </c:pt>
                <c:pt idx="21">
                  <c:v>0.76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CD0-4D2E-A1A7-091D729F7E6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'6n2p'!$A$2:$A$23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40</c:v>
                </c:pt>
                <c:pt idx="4">
                  <c:v>60</c:v>
                </c:pt>
                <c:pt idx="5">
                  <c:v>80</c:v>
                </c:pt>
                <c:pt idx="6">
                  <c:v>100</c:v>
                </c:pt>
                <c:pt idx="7">
                  <c:v>120</c:v>
                </c:pt>
                <c:pt idx="8">
                  <c:v>140</c:v>
                </c:pt>
                <c:pt idx="9">
                  <c:v>160</c:v>
                </c:pt>
                <c:pt idx="10">
                  <c:v>180</c:v>
                </c:pt>
                <c:pt idx="11">
                  <c:v>200</c:v>
                </c:pt>
                <c:pt idx="12">
                  <c:v>220</c:v>
                </c:pt>
                <c:pt idx="13">
                  <c:v>240</c:v>
                </c:pt>
                <c:pt idx="14">
                  <c:v>260</c:v>
                </c:pt>
                <c:pt idx="15">
                  <c:v>280</c:v>
                </c:pt>
                <c:pt idx="16">
                  <c:v>300</c:v>
                </c:pt>
                <c:pt idx="17">
                  <c:v>320</c:v>
                </c:pt>
                <c:pt idx="18">
                  <c:v>340</c:v>
                </c:pt>
                <c:pt idx="19">
                  <c:v>360</c:v>
                </c:pt>
                <c:pt idx="20">
                  <c:v>380</c:v>
                </c:pt>
                <c:pt idx="21">
                  <c:v>400</c:v>
                </c:pt>
              </c:numCache>
            </c:numRef>
          </c:xVal>
          <c:yVal>
            <c:numRef>
              <c:f>'6n2p'!$M$2:$M$23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1E-3</c:v>
                </c:pt>
                <c:pt idx="16">
                  <c:v>0.02</c:v>
                </c:pt>
                <c:pt idx="17">
                  <c:v>0.08</c:v>
                </c:pt>
                <c:pt idx="18">
                  <c:v>0.15</c:v>
                </c:pt>
                <c:pt idx="19">
                  <c:v>0.24</c:v>
                </c:pt>
                <c:pt idx="20">
                  <c:v>0.36</c:v>
                </c:pt>
                <c:pt idx="21">
                  <c:v>0.5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BCD0-4D2E-A1A7-091D729F7E6A}"/>
            </c:ext>
          </c:extLst>
        </c:ser>
        <c:ser>
          <c:idx val="12"/>
          <c:order val="12"/>
          <c:tx>
            <c:v>load_line</c:v>
          </c:tx>
          <c:spPr>
            <a:ln>
              <a:solidFill>
                <a:srgbClr val="FF0000"/>
              </a:solidFill>
            </a:ln>
          </c:spPr>
          <c:xVal>
            <c:numRef>
              <c:f>'6n2p'!$N$35:$N$36</c:f>
              <c:numCache>
                <c:formatCode>General</c:formatCode>
                <c:ptCount val="2"/>
                <c:pt idx="0">
                  <c:v>0</c:v>
                </c:pt>
                <c:pt idx="1">
                  <c:v>250</c:v>
                </c:pt>
              </c:numCache>
            </c:numRef>
          </c:xVal>
          <c:yVal>
            <c:numRef>
              <c:f>'6n2p'!$O$35:$O$36</c:f>
              <c:numCache>
                <c:formatCode>General</c:formatCode>
                <c:ptCount val="2"/>
                <c:pt idx="0">
                  <c:v>2.4626865671641789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38368"/>
        <c:axId val="266538944"/>
      </c:scatterChart>
      <c:valAx>
        <c:axId val="266538368"/>
        <c:scaling>
          <c:orientation val="minMax"/>
          <c:max val="4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538944"/>
        <c:crosses val="autoZero"/>
        <c:crossBetween val="midCat"/>
        <c:majorUnit val="20"/>
      </c:valAx>
      <c:valAx>
        <c:axId val="2665389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53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Vg to Va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'6n2p'!$B$54</c:f>
              <c:strCache>
                <c:ptCount val="1"/>
                <c:pt idx="0">
                  <c:v>Vg</c:v>
                </c:pt>
              </c:strCache>
            </c:strRef>
          </c:tx>
          <c:xVal>
            <c:numRef>
              <c:f>'6n2p'!$B$55:$B$72</c:f>
              <c:numCache>
                <c:formatCode>General</c:formatCode>
                <c:ptCount val="18"/>
                <c:pt idx="0">
                  <c:v>2</c:v>
                </c:pt>
                <c:pt idx="1">
                  <c:v>1.5</c:v>
                </c:pt>
                <c:pt idx="2">
                  <c:v>1</c:v>
                </c:pt>
                <c:pt idx="3">
                  <c:v>0.5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-6.5</c:v>
                </c:pt>
              </c:numCache>
            </c:numRef>
          </c:xVal>
          <c:yVal>
            <c:numRef>
              <c:f>'6n2p'!$C$55:$C$72</c:f>
              <c:numCache>
                <c:formatCode>General</c:formatCode>
                <c:ptCount val="18"/>
                <c:pt idx="0">
                  <c:v>25.308223573380115</c:v>
                </c:pt>
                <c:pt idx="1">
                  <c:v>25.308223573380115</c:v>
                </c:pt>
                <c:pt idx="2">
                  <c:v>25.308223573380115</c:v>
                </c:pt>
                <c:pt idx="3">
                  <c:v>42.851530497227188</c:v>
                </c:pt>
                <c:pt idx="4">
                  <c:v>69.819298060571811</c:v>
                </c:pt>
                <c:pt idx="5">
                  <c:v>106.13493247746845</c:v>
                </c:pt>
                <c:pt idx="6">
                  <c:v>139.69051625162524</c:v>
                </c:pt>
                <c:pt idx="7">
                  <c:v>169.41959165521141</c:v>
                </c:pt>
                <c:pt idx="8">
                  <c:v>196.80808407309789</c:v>
                </c:pt>
                <c:pt idx="9">
                  <c:v>215.46464605876909</c:v>
                </c:pt>
                <c:pt idx="10">
                  <c:v>233.5347769540511</c:v>
                </c:pt>
                <c:pt idx="11">
                  <c:v>241.15258511882831</c:v>
                </c:pt>
                <c:pt idx="12">
                  <c:v>249.68961784524114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40672"/>
        <c:axId val="266537792"/>
      </c:scatterChart>
      <c:valAx>
        <c:axId val="26654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537792"/>
        <c:crosses val="autoZero"/>
        <c:crossBetween val="midCat"/>
      </c:valAx>
      <c:valAx>
        <c:axId val="266537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540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'6J1'!$B$2:$B$23</c:f>
              <c:numCache>
                <c:formatCode>General</c:formatCode>
                <c:ptCount val="2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CD0-4D2E-A1A7-091D729F7E6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'6J1'!$C$2:$C$23</c:f>
              <c:numCache>
                <c:formatCode>General</c:formatCode>
                <c:ptCount val="2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D0-4D2E-A1A7-091D729F7E6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'6J1'!$D$2:$D$23</c:f>
              <c:numCache>
                <c:formatCode>General</c:formatCode>
                <c:ptCount val="22"/>
                <c:pt idx="0">
                  <c:v>1E-4</c:v>
                </c:pt>
                <c:pt idx="1">
                  <c:v>1</c:v>
                </c:pt>
                <c:pt idx="2">
                  <c:v>2.2999999999999998</c:v>
                </c:pt>
                <c:pt idx="3">
                  <c:v>4</c:v>
                </c:pt>
                <c:pt idx="4">
                  <c:v>5.9</c:v>
                </c:pt>
                <c:pt idx="5">
                  <c:v>7.9</c:v>
                </c:pt>
                <c:pt idx="6">
                  <c:v>9.9</c:v>
                </c:pt>
                <c:pt idx="7">
                  <c:v>12.3</c:v>
                </c:pt>
                <c:pt idx="8">
                  <c:v>14.7</c:v>
                </c:pt>
                <c:pt idx="9">
                  <c:v>17.100000000000001</c:v>
                </c:pt>
                <c:pt idx="10">
                  <c:v>19.399999999999999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CD0-4D2E-A1A7-091D729F7E6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'6J1'!$E$2:$E$23</c:f>
              <c:numCache>
                <c:formatCode>General</c:formatCode>
                <c:ptCount val="22"/>
                <c:pt idx="0">
                  <c:v>1E-4</c:v>
                </c:pt>
                <c:pt idx="1">
                  <c:v>0.15</c:v>
                </c:pt>
                <c:pt idx="2">
                  <c:v>0.8</c:v>
                </c:pt>
                <c:pt idx="3">
                  <c:v>1.75</c:v>
                </c:pt>
                <c:pt idx="4">
                  <c:v>2.9</c:v>
                </c:pt>
                <c:pt idx="5">
                  <c:v>4.5999999999999996</c:v>
                </c:pt>
                <c:pt idx="6">
                  <c:v>6.4</c:v>
                </c:pt>
                <c:pt idx="7">
                  <c:v>8.6999999999999993</c:v>
                </c:pt>
                <c:pt idx="8">
                  <c:v>10.8</c:v>
                </c:pt>
                <c:pt idx="9">
                  <c:v>13.3</c:v>
                </c:pt>
                <c:pt idx="10">
                  <c:v>15.6</c:v>
                </c:pt>
                <c:pt idx="11">
                  <c:v>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CD0-4D2E-A1A7-091D729F7E6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'6J1'!$F$2:$F$23</c:f>
              <c:numCache>
                <c:formatCode>General</c:formatCode>
                <c:ptCount val="22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0.45</c:v>
                </c:pt>
                <c:pt idx="4">
                  <c:v>1.25</c:v>
                </c:pt>
                <c:pt idx="5">
                  <c:v>2.4</c:v>
                </c:pt>
                <c:pt idx="6">
                  <c:v>3.7</c:v>
                </c:pt>
                <c:pt idx="7">
                  <c:v>5.3</c:v>
                </c:pt>
                <c:pt idx="8">
                  <c:v>7.1</c:v>
                </c:pt>
                <c:pt idx="9">
                  <c:v>9.1</c:v>
                </c:pt>
                <c:pt idx="10">
                  <c:v>11.4</c:v>
                </c:pt>
                <c:pt idx="11">
                  <c:v>13.8</c:v>
                </c:pt>
                <c:pt idx="12">
                  <c:v>16.149999999999999</c:v>
                </c:pt>
                <c:pt idx="13">
                  <c:v>18.399999999999999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CD0-4D2E-A1A7-091D729F7E6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'6J1'!$G$2:$G$23</c:f>
              <c:numCache>
                <c:formatCode>General</c:formatCode>
                <c:ptCount val="22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0.09</c:v>
                </c:pt>
                <c:pt idx="4">
                  <c:v>0.3</c:v>
                </c:pt>
                <c:pt idx="5">
                  <c:v>0.85</c:v>
                </c:pt>
                <c:pt idx="6">
                  <c:v>1.6</c:v>
                </c:pt>
                <c:pt idx="7">
                  <c:v>2.95</c:v>
                </c:pt>
                <c:pt idx="8">
                  <c:v>4.4000000000000004</c:v>
                </c:pt>
                <c:pt idx="9">
                  <c:v>6.1</c:v>
                </c:pt>
                <c:pt idx="10">
                  <c:v>8.1</c:v>
                </c:pt>
                <c:pt idx="11">
                  <c:v>10.199999999999999</c:v>
                </c:pt>
                <c:pt idx="12">
                  <c:v>12.6</c:v>
                </c:pt>
                <c:pt idx="13">
                  <c:v>14.7</c:v>
                </c:pt>
                <c:pt idx="14">
                  <c:v>16.899999999999999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BCD0-4D2E-A1A7-091D729F7E6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'6J1'!$H$2:$H$23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1E-4</c:v>
                </c:pt>
                <c:pt idx="4">
                  <c:v>1E-3</c:v>
                </c:pt>
                <c:pt idx="5">
                  <c:v>0.1</c:v>
                </c:pt>
                <c:pt idx="6">
                  <c:v>0.6</c:v>
                </c:pt>
                <c:pt idx="7">
                  <c:v>1.3</c:v>
                </c:pt>
                <c:pt idx="8">
                  <c:v>2.2999999999999998</c:v>
                </c:pt>
                <c:pt idx="9">
                  <c:v>3.6</c:v>
                </c:pt>
                <c:pt idx="10">
                  <c:v>5.0999999999999996</c:v>
                </c:pt>
                <c:pt idx="11">
                  <c:v>6.95</c:v>
                </c:pt>
                <c:pt idx="12">
                  <c:v>9</c:v>
                </c:pt>
                <c:pt idx="13">
                  <c:v>11.3</c:v>
                </c:pt>
                <c:pt idx="14">
                  <c:v>13.6</c:v>
                </c:pt>
                <c:pt idx="15">
                  <c:v>15.7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CD0-4D2E-A1A7-091D729F7E6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'6J1'!$I$2:$I$23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1E-4</c:v>
                </c:pt>
                <c:pt idx="6">
                  <c:v>1E-3</c:v>
                </c:pt>
                <c:pt idx="7">
                  <c:v>0.4</c:v>
                </c:pt>
                <c:pt idx="8">
                  <c:v>0.9</c:v>
                </c:pt>
                <c:pt idx="9">
                  <c:v>1.8</c:v>
                </c:pt>
                <c:pt idx="10">
                  <c:v>2.9</c:v>
                </c:pt>
                <c:pt idx="11">
                  <c:v>4.3</c:v>
                </c:pt>
                <c:pt idx="12">
                  <c:v>5.9</c:v>
                </c:pt>
                <c:pt idx="13">
                  <c:v>7.9</c:v>
                </c:pt>
                <c:pt idx="14">
                  <c:v>10</c:v>
                </c:pt>
                <c:pt idx="15">
                  <c:v>12.5</c:v>
                </c:pt>
                <c:pt idx="16">
                  <c:v>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BCD0-4D2E-A1A7-091D729F7E6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'6J1'!$J$2:$J$23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1E-4</c:v>
                </c:pt>
                <c:pt idx="7">
                  <c:v>1E-3</c:v>
                </c:pt>
                <c:pt idx="8">
                  <c:v>0.3</c:v>
                </c:pt>
                <c:pt idx="9">
                  <c:v>0.8</c:v>
                </c:pt>
                <c:pt idx="10">
                  <c:v>1.55</c:v>
                </c:pt>
                <c:pt idx="11">
                  <c:v>2.6</c:v>
                </c:pt>
                <c:pt idx="12">
                  <c:v>3.8</c:v>
                </c:pt>
                <c:pt idx="13">
                  <c:v>5.2</c:v>
                </c:pt>
                <c:pt idx="14">
                  <c:v>7</c:v>
                </c:pt>
                <c:pt idx="15">
                  <c:v>9</c:v>
                </c:pt>
                <c:pt idx="16">
                  <c:v>11.2</c:v>
                </c:pt>
                <c:pt idx="17">
                  <c:v>13.5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BCD0-4D2E-A1A7-091D729F7E6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'6J1'!$K$2:$K$23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1E-4</c:v>
                </c:pt>
                <c:pt idx="8">
                  <c:v>1E-3</c:v>
                </c:pt>
                <c:pt idx="9">
                  <c:v>0.2</c:v>
                </c:pt>
                <c:pt idx="10">
                  <c:v>0.6</c:v>
                </c:pt>
                <c:pt idx="11">
                  <c:v>1.3</c:v>
                </c:pt>
                <c:pt idx="12">
                  <c:v>2.1</c:v>
                </c:pt>
                <c:pt idx="13">
                  <c:v>3.3</c:v>
                </c:pt>
                <c:pt idx="14">
                  <c:v>4.5999999999999996</c:v>
                </c:pt>
                <c:pt idx="15">
                  <c:v>6.2</c:v>
                </c:pt>
                <c:pt idx="16">
                  <c:v>8.1</c:v>
                </c:pt>
                <c:pt idx="17">
                  <c:v>10.050000000000001</c:v>
                </c:pt>
                <c:pt idx="18">
                  <c:v>12.1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BCD0-4D2E-A1A7-091D729F7E6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'6J1'!$L$2:$L$23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1E-4</c:v>
                </c:pt>
                <c:pt idx="9">
                  <c:v>1E-3</c:v>
                </c:pt>
                <c:pt idx="10">
                  <c:v>0.2</c:v>
                </c:pt>
                <c:pt idx="11">
                  <c:v>0.55000000000000004</c:v>
                </c:pt>
                <c:pt idx="12">
                  <c:v>1.1000000000000001</c:v>
                </c:pt>
                <c:pt idx="13">
                  <c:v>1.85</c:v>
                </c:pt>
                <c:pt idx="14">
                  <c:v>2.85</c:v>
                </c:pt>
                <c:pt idx="15">
                  <c:v>4.0999999999999996</c:v>
                </c:pt>
                <c:pt idx="16">
                  <c:v>5.5</c:v>
                </c:pt>
                <c:pt idx="17">
                  <c:v>7.3</c:v>
                </c:pt>
                <c:pt idx="18">
                  <c:v>9.1</c:v>
                </c:pt>
                <c:pt idx="19">
                  <c:v>11.3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CD0-4D2E-A1A7-091D729F7E6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'6J1'!$A$2:$A$23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</c:numCache>
            </c:numRef>
          </c:xVal>
          <c:yVal>
            <c:numRef>
              <c:f>'6J1'!$M$2:$M$23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1E-4</c:v>
                </c:pt>
                <c:pt idx="10">
                  <c:v>1E-3</c:v>
                </c:pt>
                <c:pt idx="11">
                  <c:v>0.1</c:v>
                </c:pt>
                <c:pt idx="12">
                  <c:v>0.4</c:v>
                </c:pt>
                <c:pt idx="13">
                  <c:v>0.85</c:v>
                </c:pt>
                <c:pt idx="14">
                  <c:v>1.45</c:v>
                </c:pt>
                <c:pt idx="15">
                  <c:v>2.35</c:v>
                </c:pt>
                <c:pt idx="16">
                  <c:v>3.5</c:v>
                </c:pt>
                <c:pt idx="17">
                  <c:v>4.8</c:v>
                </c:pt>
                <c:pt idx="18">
                  <c:v>6.5</c:v>
                </c:pt>
                <c:pt idx="19">
                  <c:v>8.5</c:v>
                </c:pt>
                <c:pt idx="20">
                  <c:v>10.5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BCD0-4D2E-A1A7-091D729F7E6A}"/>
            </c:ext>
          </c:extLst>
        </c:ser>
        <c:ser>
          <c:idx val="12"/>
          <c:order val="12"/>
          <c:tx>
            <c:v>load_line</c:v>
          </c:tx>
          <c:spPr>
            <a:ln>
              <a:solidFill>
                <a:srgbClr val="FF0000"/>
              </a:solidFill>
            </a:ln>
          </c:spPr>
          <c:xVal>
            <c:numRef>
              <c:f>'6J1'!$N$35:$N$36</c:f>
              <c:numCache>
                <c:formatCode>General</c:formatCode>
                <c:ptCount val="2"/>
                <c:pt idx="0">
                  <c:v>0</c:v>
                </c:pt>
                <c:pt idx="1">
                  <c:v>170</c:v>
                </c:pt>
              </c:numCache>
            </c:numRef>
          </c:xVal>
          <c:yVal>
            <c:numRef>
              <c:f>'6J1'!$O$35:$O$36</c:f>
              <c:numCache>
                <c:formatCode>General</c:formatCode>
                <c:ptCount val="2"/>
                <c:pt idx="0">
                  <c:v>0.5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40864"/>
        <c:axId val="266741440"/>
      </c:scatterChart>
      <c:valAx>
        <c:axId val="266740864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741440"/>
        <c:crosses val="autoZero"/>
        <c:crossBetween val="midCat"/>
        <c:majorUnit val="20"/>
      </c:valAx>
      <c:valAx>
        <c:axId val="266741440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74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Vg to Va curve</c:v>
          </c:tx>
          <c:xVal>
            <c:numRef>
              <c:f>'6J1'!$B$55:$B$72</c:f>
              <c:numCache>
                <c:formatCode>General</c:formatCode>
                <c:ptCount val="18"/>
                <c:pt idx="0">
                  <c:v>2</c:v>
                </c:pt>
                <c:pt idx="1">
                  <c:v>1.5</c:v>
                </c:pt>
                <c:pt idx="2">
                  <c:v>1</c:v>
                </c:pt>
                <c:pt idx="3">
                  <c:v>0.5</c:v>
                </c:pt>
                <c:pt idx="4">
                  <c:v>0</c:v>
                </c:pt>
                <c:pt idx="5">
                  <c:v>-0.5</c:v>
                </c:pt>
                <c:pt idx="6">
                  <c:v>-1</c:v>
                </c:pt>
                <c:pt idx="7">
                  <c:v>-1.5</c:v>
                </c:pt>
                <c:pt idx="8">
                  <c:v>-2</c:v>
                </c:pt>
                <c:pt idx="9">
                  <c:v>-2.5</c:v>
                </c:pt>
                <c:pt idx="10">
                  <c:v>-3</c:v>
                </c:pt>
                <c:pt idx="11">
                  <c:v>-3.5</c:v>
                </c:pt>
                <c:pt idx="12">
                  <c:v>-4</c:v>
                </c:pt>
                <c:pt idx="13">
                  <c:v>-4.5</c:v>
                </c:pt>
                <c:pt idx="14">
                  <c:v>-5</c:v>
                </c:pt>
                <c:pt idx="15">
                  <c:v>-5.5</c:v>
                </c:pt>
                <c:pt idx="16">
                  <c:v>-6</c:v>
                </c:pt>
                <c:pt idx="17">
                  <c:v>-6.5</c:v>
                </c:pt>
              </c:numCache>
            </c:numRef>
          </c:xVal>
          <c:yVal>
            <c:numRef>
              <c:f>'6J1'!$C$55:$C$72</c:f>
              <c:numCache>
                <c:formatCode>General</c:formatCode>
                <c:ptCount val="18"/>
                <c:pt idx="0">
                  <c:v>5.7483834887113083</c:v>
                </c:pt>
                <c:pt idx="1">
                  <c:v>5.7483834887113083</c:v>
                </c:pt>
                <c:pt idx="2">
                  <c:v>5.7483834887113083</c:v>
                </c:pt>
                <c:pt idx="3">
                  <c:v>5.7483834887113083</c:v>
                </c:pt>
                <c:pt idx="4">
                  <c:v>5.7483834887113083</c:v>
                </c:pt>
                <c:pt idx="5">
                  <c:v>13.826390856656367</c:v>
                </c:pt>
                <c:pt idx="6">
                  <c:v>25.125190656381388</c:v>
                </c:pt>
                <c:pt idx="7">
                  <c:v>39.2594869953734</c:v>
                </c:pt>
                <c:pt idx="8">
                  <c:v>53.933232249117879</c:v>
                </c:pt>
                <c:pt idx="9">
                  <c:v>68.987630016538702</c:v>
                </c:pt>
                <c:pt idx="10">
                  <c:v>79.80844478526231</c:v>
                </c:pt>
                <c:pt idx="11">
                  <c:v>91.762184169838903</c:v>
                </c:pt>
                <c:pt idx="12">
                  <c:v>103.32387349418617</c:v>
                </c:pt>
                <c:pt idx="13">
                  <c:v>117.50503346535737</c:v>
                </c:pt>
                <c:pt idx="14">
                  <c:v>117.50503346535737</c:v>
                </c:pt>
                <c:pt idx="15">
                  <c:v>117.50503346535737</c:v>
                </c:pt>
                <c:pt idx="16">
                  <c:v>117.50503346535737</c:v>
                </c:pt>
                <c:pt idx="17">
                  <c:v>117.50503346535737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42016"/>
        <c:axId val="266740288"/>
      </c:scatterChart>
      <c:valAx>
        <c:axId val="26674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6740288"/>
        <c:crosses val="autoZero"/>
        <c:crossBetween val="midCat"/>
      </c:valAx>
      <c:valAx>
        <c:axId val="26674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7420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'test sine'!$C$1</c:f>
              <c:strCache>
                <c:ptCount val="1"/>
                <c:pt idx="0">
                  <c:v>sine</c:v>
                </c:pt>
              </c:strCache>
            </c:strRef>
          </c:tx>
          <c:xVal>
            <c:numRef>
              <c:f>'test sine'!$A$2:$A$34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'test sine'!$D$2:$D$34</c:f>
              <c:numCache>
                <c:formatCode>General</c:formatCode>
                <c:ptCount val="33"/>
                <c:pt idx="0">
                  <c:v>0</c:v>
                </c:pt>
                <c:pt idx="1">
                  <c:v>0.19509032201612825</c:v>
                </c:pt>
                <c:pt idx="2">
                  <c:v>0.38268343236508978</c:v>
                </c:pt>
                <c:pt idx="3">
                  <c:v>0.55557023301960218</c:v>
                </c:pt>
                <c:pt idx="4">
                  <c:v>0.70710678118654746</c:v>
                </c:pt>
                <c:pt idx="5">
                  <c:v>0.83146961230254524</c:v>
                </c:pt>
                <c:pt idx="6">
                  <c:v>0.92387953251128674</c:v>
                </c:pt>
                <c:pt idx="7">
                  <c:v>0.98078528040323043</c:v>
                </c:pt>
                <c:pt idx="8">
                  <c:v>1</c:v>
                </c:pt>
                <c:pt idx="9">
                  <c:v>0.98078528040323043</c:v>
                </c:pt>
                <c:pt idx="10">
                  <c:v>0.92387953251128674</c:v>
                </c:pt>
                <c:pt idx="11">
                  <c:v>0.83146961230254546</c:v>
                </c:pt>
                <c:pt idx="12">
                  <c:v>0.70710678118654757</c:v>
                </c:pt>
                <c:pt idx="13">
                  <c:v>0.55557023301960218</c:v>
                </c:pt>
                <c:pt idx="14">
                  <c:v>0.38268343236508989</c:v>
                </c:pt>
                <c:pt idx="15">
                  <c:v>0.19509032201612861</c:v>
                </c:pt>
                <c:pt idx="16">
                  <c:v>1.22514845490862E-16</c:v>
                </c:pt>
                <c:pt idx="17">
                  <c:v>-0.19509032201612836</c:v>
                </c:pt>
                <c:pt idx="18">
                  <c:v>-0.38268343236508967</c:v>
                </c:pt>
                <c:pt idx="19">
                  <c:v>-0.55557023301960196</c:v>
                </c:pt>
                <c:pt idx="20">
                  <c:v>-0.70710678118654746</c:v>
                </c:pt>
                <c:pt idx="21">
                  <c:v>-0.83146961230254524</c:v>
                </c:pt>
                <c:pt idx="22">
                  <c:v>-0.92387953251128652</c:v>
                </c:pt>
                <c:pt idx="23">
                  <c:v>-0.98078528040323032</c:v>
                </c:pt>
                <c:pt idx="24">
                  <c:v>-1</c:v>
                </c:pt>
                <c:pt idx="25">
                  <c:v>-0.98078528040323043</c:v>
                </c:pt>
                <c:pt idx="26">
                  <c:v>-0.92387953251128663</c:v>
                </c:pt>
                <c:pt idx="27">
                  <c:v>-0.83146961230254546</c:v>
                </c:pt>
                <c:pt idx="28">
                  <c:v>-0.70710678118654768</c:v>
                </c:pt>
                <c:pt idx="29">
                  <c:v>-0.55557023301960218</c:v>
                </c:pt>
                <c:pt idx="30">
                  <c:v>-0.38268343236509039</c:v>
                </c:pt>
                <c:pt idx="31">
                  <c:v>-0.19509032201612872</c:v>
                </c:pt>
                <c:pt idx="32">
                  <c:v>-2.45029690981724E-16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174-4229-93E3-A066857FF1B7}"/>
            </c:ext>
          </c:extLst>
        </c:ser>
        <c:ser>
          <c:idx val="1"/>
          <c:order val="1"/>
          <c:tx>
            <c:strRef>
              <c:f>'test sine'!$G$1</c:f>
              <c:strCache>
                <c:ptCount val="1"/>
                <c:pt idx="0">
                  <c:v>Vout</c:v>
                </c:pt>
              </c:strCache>
            </c:strRef>
          </c:tx>
          <c:xVal>
            <c:numRef>
              <c:f>'test sine'!$A$2:$A$34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'test sine'!$I$2:$I$34</c:f>
              <c:numCache>
                <c:formatCode>General</c:formatCode>
                <c:ptCount val="33"/>
                <c:pt idx="0">
                  <c:v>0.15968033519805547</c:v>
                </c:pt>
                <c:pt idx="1">
                  <c:v>-1.4845676997958558E-2</c:v>
                </c:pt>
                <c:pt idx="2">
                  <c:v>-0.20630771732734757</c:v>
                </c:pt>
                <c:pt idx="3">
                  <c:v>-0.40328538680435883</c:v>
                </c:pt>
                <c:pt idx="4">
                  <c:v>-0.59212880333075846</c:v>
                </c:pt>
                <c:pt idx="5">
                  <c:v>-0.75840880531893839</c:v>
                </c:pt>
                <c:pt idx="6">
                  <c:v>-0.88856333054828207</c:v>
                </c:pt>
                <c:pt idx="7">
                  <c:v>-0.97151047287914494</c:v>
                </c:pt>
                <c:pt idx="8">
                  <c:v>-1</c:v>
                </c:pt>
                <c:pt idx="9">
                  <c:v>-0.97151047287914494</c:v>
                </c:pt>
                <c:pt idx="10">
                  <c:v>-0.88856333054828207</c:v>
                </c:pt>
                <c:pt idx="11">
                  <c:v>-0.75840880531893839</c:v>
                </c:pt>
                <c:pt idx="12">
                  <c:v>-0.59212880333075923</c:v>
                </c:pt>
                <c:pt idx="13">
                  <c:v>-0.40328538680435883</c:v>
                </c:pt>
                <c:pt idx="14">
                  <c:v>-0.20630771732734757</c:v>
                </c:pt>
                <c:pt idx="15">
                  <c:v>-1.4845676997958558E-2</c:v>
                </c:pt>
                <c:pt idx="16">
                  <c:v>0.15968033519805547</c:v>
                </c:pt>
                <c:pt idx="17">
                  <c:v>0.30913678000575723</c:v>
                </c:pt>
                <c:pt idx="18">
                  <c:v>0.42920673254888558</c:v>
                </c:pt>
                <c:pt idx="19">
                  <c:v>0.51933859203625887</c:v>
                </c:pt>
                <c:pt idx="20">
                  <c:v>0.58214878238088574</c:v>
                </c:pt>
                <c:pt idx="21">
                  <c:v>0.6223955581872922</c:v>
                </c:pt>
                <c:pt idx="22">
                  <c:v>0.64570427342699721</c:v>
                </c:pt>
                <c:pt idx="23">
                  <c:v>0.65725932797159936</c:v>
                </c:pt>
                <c:pt idx="24">
                  <c:v>0.66067928770414219</c:v>
                </c:pt>
                <c:pt idx="25">
                  <c:v>0.65725932797159936</c:v>
                </c:pt>
                <c:pt idx="26">
                  <c:v>0.64570427342699721</c:v>
                </c:pt>
                <c:pt idx="27">
                  <c:v>0.6223955581872922</c:v>
                </c:pt>
                <c:pt idx="28">
                  <c:v>0.58214878238088574</c:v>
                </c:pt>
                <c:pt idx="29">
                  <c:v>0.51933859203625887</c:v>
                </c:pt>
                <c:pt idx="30">
                  <c:v>0.42920673254888636</c:v>
                </c:pt>
                <c:pt idx="31">
                  <c:v>0.30913678000575801</c:v>
                </c:pt>
                <c:pt idx="32">
                  <c:v>0.15968033519805622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1174-4229-93E3-A066857FF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541824"/>
        <c:axId val="266542400"/>
      </c:scatterChart>
      <c:valAx>
        <c:axId val="2665418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/>
          <a:lstStyle/>
          <a:p>
            <a:pPr>
              <a:defRPr/>
            </a:pPr>
            <a:endParaRPr lang="en-US"/>
          </a:p>
        </c:txPr>
        <c:crossAx val="266542400"/>
        <c:crosses val="autoZero"/>
        <c:crossBetween val="midCat"/>
      </c:valAx>
      <c:valAx>
        <c:axId val="2665424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/>
          <a:lstStyle/>
          <a:p>
            <a:pPr>
              <a:defRPr/>
            </a:pPr>
            <a:endParaRPr lang="en-US"/>
          </a:p>
        </c:txPr>
        <c:crossAx val="26654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sm="sm" uri="sm">
      <sm:colorScheme xmlns:sm="sm" id="1737163709" val="15"/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(V+bias)^2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'Vout = Vin^2'!$G$1</c:f>
              <c:strCache>
                <c:ptCount val="1"/>
                <c:pt idx="0">
                  <c:v>Vout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'Vout = Vin^2'!$A$2:$A$34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'Vout = Vin^2'!$I$2:$I$34</c:f>
              <c:numCache>
                <c:formatCode>General</c:formatCode>
                <c:ptCount val="33"/>
                <c:pt idx="0">
                  <c:v>-0.19277108433734935</c:v>
                </c:pt>
                <c:pt idx="1">
                  <c:v>-0.33277076553615292</c:v>
                </c:pt>
                <c:pt idx="2">
                  <c:v>-0.43884781235751752</c:v>
                </c:pt>
                <c:pt idx="3">
                  <c:v>-0.51183026522069541</c:v>
                </c:pt>
                <c:pt idx="4">
                  <c:v>-0.55625358503990519</c:v>
                </c:pt>
                <c:pt idx="5">
                  <c:v>-0.57906888889089159</c:v>
                </c:pt>
                <c:pt idx="6">
                  <c:v>-0.58805767778514317</c:v>
                </c:pt>
                <c:pt idx="7">
                  <c:v>-0.59021465325514422</c:v>
                </c:pt>
                <c:pt idx="8">
                  <c:v>-0.59036144578313254</c:v>
                </c:pt>
                <c:pt idx="9">
                  <c:v>-0.59021465325514422</c:v>
                </c:pt>
                <c:pt idx="10">
                  <c:v>-0.58805767778514317</c:v>
                </c:pt>
                <c:pt idx="11">
                  <c:v>-0.5790688888908917</c:v>
                </c:pt>
                <c:pt idx="12">
                  <c:v>-0.55625358503990519</c:v>
                </c:pt>
                <c:pt idx="13">
                  <c:v>-0.51183026522069541</c:v>
                </c:pt>
                <c:pt idx="14">
                  <c:v>-0.43884781235751763</c:v>
                </c:pt>
                <c:pt idx="15">
                  <c:v>-0.33277076553615315</c:v>
                </c:pt>
                <c:pt idx="16">
                  <c:v>-0.19277108433734944</c:v>
                </c:pt>
                <c:pt idx="17">
                  <c:v>-2.2506638956286198E-2</c:v>
                </c:pt>
                <c:pt idx="18">
                  <c:v>0.16975716441587813</c:v>
                </c:pt>
                <c:pt idx="19">
                  <c:v>0.37172721379843066</c:v>
                </c:pt>
                <c:pt idx="20">
                  <c:v>0.56830177781098956</c:v>
                </c:pt>
                <c:pt idx="21">
                  <c:v>0.74326832585532498</c:v>
                </c:pt>
                <c:pt idx="22">
                  <c:v>0.88124471126895099</c:v>
                </c:pt>
                <c:pt idx="23">
                  <c:v>0.96958844328975213</c:v>
                </c:pt>
                <c:pt idx="24">
                  <c:v>1</c:v>
                </c:pt>
                <c:pt idx="25">
                  <c:v>0.96958844328975236</c:v>
                </c:pt>
                <c:pt idx="26">
                  <c:v>0.88124471126895099</c:v>
                </c:pt>
                <c:pt idx="27">
                  <c:v>0.7432683258553251</c:v>
                </c:pt>
                <c:pt idx="28">
                  <c:v>0.56830177781098989</c:v>
                </c:pt>
                <c:pt idx="29">
                  <c:v>0.37172721379843088</c:v>
                </c:pt>
                <c:pt idx="30">
                  <c:v>0.16975716441587893</c:v>
                </c:pt>
                <c:pt idx="31">
                  <c:v>-2.2506638956285845E-2</c:v>
                </c:pt>
                <c:pt idx="32">
                  <c:v>-0.19277108433734916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EC-4178-A7BB-D4D1EA4F345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'Vout = Vin^2'!$A$2:$A$34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'Vout = Vin^2'!$D$2:$D$34</c:f>
              <c:numCache>
                <c:formatCode>General</c:formatCode>
                <c:ptCount val="33"/>
                <c:pt idx="0">
                  <c:v>0</c:v>
                </c:pt>
                <c:pt idx="1">
                  <c:v>0.19509032201612825</c:v>
                </c:pt>
                <c:pt idx="2">
                  <c:v>0.38268343236508978</c:v>
                </c:pt>
                <c:pt idx="3">
                  <c:v>0.55557023301960218</c:v>
                </c:pt>
                <c:pt idx="4">
                  <c:v>0.70710678118654746</c:v>
                </c:pt>
                <c:pt idx="5">
                  <c:v>0.83146961230254524</c:v>
                </c:pt>
                <c:pt idx="6">
                  <c:v>0.92387953251128674</c:v>
                </c:pt>
                <c:pt idx="7">
                  <c:v>0.98078528040323043</c:v>
                </c:pt>
                <c:pt idx="8">
                  <c:v>1</c:v>
                </c:pt>
                <c:pt idx="9">
                  <c:v>0.98078528040323043</c:v>
                </c:pt>
                <c:pt idx="10">
                  <c:v>0.92387953251128674</c:v>
                </c:pt>
                <c:pt idx="11">
                  <c:v>0.83146961230254546</c:v>
                </c:pt>
                <c:pt idx="12">
                  <c:v>0.70710678118654757</c:v>
                </c:pt>
                <c:pt idx="13">
                  <c:v>0.55557023301960218</c:v>
                </c:pt>
                <c:pt idx="14">
                  <c:v>0.38268343236508989</c:v>
                </c:pt>
                <c:pt idx="15">
                  <c:v>0.19509032201612861</c:v>
                </c:pt>
                <c:pt idx="16">
                  <c:v>1.22514845490862E-16</c:v>
                </c:pt>
                <c:pt idx="17">
                  <c:v>-0.19509032201612836</c:v>
                </c:pt>
                <c:pt idx="18">
                  <c:v>-0.38268343236508967</c:v>
                </c:pt>
                <c:pt idx="19">
                  <c:v>-0.55557023301960196</c:v>
                </c:pt>
                <c:pt idx="20">
                  <c:v>-0.70710678118654746</c:v>
                </c:pt>
                <c:pt idx="21">
                  <c:v>-0.83146961230254524</c:v>
                </c:pt>
                <c:pt idx="22">
                  <c:v>-0.92387953251128652</c:v>
                </c:pt>
                <c:pt idx="23">
                  <c:v>-0.98078528040323032</c:v>
                </c:pt>
                <c:pt idx="24">
                  <c:v>-1</c:v>
                </c:pt>
                <c:pt idx="25">
                  <c:v>-0.98078528040323043</c:v>
                </c:pt>
                <c:pt idx="26">
                  <c:v>-0.92387953251128663</c:v>
                </c:pt>
                <c:pt idx="27">
                  <c:v>-0.83146961230254546</c:v>
                </c:pt>
                <c:pt idx="28">
                  <c:v>-0.70710678118654768</c:v>
                </c:pt>
                <c:pt idx="29">
                  <c:v>-0.55557023301960218</c:v>
                </c:pt>
                <c:pt idx="30">
                  <c:v>-0.38268343236509039</c:v>
                </c:pt>
                <c:pt idx="31">
                  <c:v>-0.19509032201612872</c:v>
                </c:pt>
                <c:pt idx="32">
                  <c:v>-2.45029690981724E-16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EC-4178-A7BB-D4D1EA4F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43744"/>
        <c:axId val="266744320"/>
      </c:scatterChart>
      <c:valAx>
        <c:axId val="26674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744320"/>
        <c:crosses val="autoZero"/>
        <c:crossBetween val="midCat"/>
      </c:valAx>
      <c:valAx>
        <c:axId val="26674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74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482977</xdr:colOff>
      <xdr:row>0</xdr:row>
      <xdr:rowOff>2117</xdr:rowOff>
    </xdr:from>
    <xdr:to>
      <xdr:col>23</xdr:col>
      <xdr:colOff>451448</xdr:colOff>
      <xdr:row>25</xdr:row>
      <xdr:rowOff>11430</xdr:rowOff>
    </xdr:to>
    <xdr:grpSp>
      <xdr:nvGrpSpPr>
        <xdr:cNvPr id="5" name="Group 4">
          <a:extLst>
            <a:ext uri="{FF2B5EF4-FFF2-40B4-BE49-F238E27FC236}">
              <a16:creationId xmlns="" xmlns:a16="http://schemas.microsoft.com/office/drawing/2014/main" id="{5192BC27-A600-90C8-E03F-0C5EEB75C81B}"/>
            </a:ext>
          </a:extLst>
        </xdr:cNvPr>
        <xdr:cNvGrpSpPr/>
      </xdr:nvGrpSpPr>
      <xdr:grpSpPr>
        <a:xfrm>
          <a:off x="8815671" y="2117"/>
          <a:ext cx="6378236" cy="4787501"/>
          <a:chOff x="8466646" y="625571"/>
          <a:chExt cx="6524539" cy="4830637"/>
        </a:xfrm>
      </xdr:grpSpPr>
      <xdr:pic>
        <xdr:nvPicPr>
          <xdr:cNvPr id="2" name="Picture 2">
            <a:extLst>
              <a:ext uri="{FF2B5EF4-FFF2-40B4-BE49-F238E27FC236}">
                <a16:creationId xmlns="" xmlns:a16="http://schemas.microsoft.com/office/drawing/2014/main" id="{D864551B-3CB3-4D91-9F4F-ABB40AF41570}"/>
              </a:ext>
            </a:extLst>
          </xdr:cNvPr>
          <xdr:cNvPicPr>
            <a:picLocks noChangeAspect="1"/>
            <a:extLst>
              <a:ext uri="smNativeData">
                <pm:smNativeData xmlns="" xmlns:pm="smNativeData" val="SMDATA_15_vQOLZx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IAAAD///8AKQQAAAUAAAAM9f//Bw4AAAAAAABkAAAAZAAAAAEAAAAjAAAABAAAAGQAAAAXAAAAFAAAAAAAAAAAAAAA/38AAP9/AAAAAAAACQAAAAQAAAAAAAAAHgAAAGgAAAAAAAAAAAAAAAAAAAAAAAAAAAAAABAnAAAQJwAAAAAAAAAAAAAAAAAAAAAAAAAAAAAAAAAAAAAAAAAAAAAUAAAAAAAAAMDA/wAAAAAAZAAAADIAAAAAAAAAZAAAAAAAAAB/f38AAQAAACIAAAAYAAAAAAAAAAAAAAAAAAAAAAAAAAAAAAAAAAAAJAAAACQAAAAAAAAABwAAAAAAAAAAAAAAAAAAAAAAAAAAAAAAAAAAAH9/fwAlAAAAWAAAAAAAAAAAAAAAAAAAAAAAAAAAAAAAAAAAAAAAAAAAAAAAAAAAAAAAAAAAAAAAPwAAAAAAAACghgEAAAAAAAAAAAAAAAAADAAAAAEAAAAAAAAAAAAAAAAAAAAhAAAAMAAAACwAAAAAAAAAGwAAADIDhgIZAAAAKQAAAN8A2AKLfQAA9gAAAF8zAABhHQAAAQAAAA=="/>
              </a:ext>
            </a:extLst>
          </xdr:cNvPicPr>
        </xdr:nvPicPr>
        <xdr:blipFill rotWithShape="1">
          <a:blip xmlns:r="http://schemas.openxmlformats.org/officeDocument/2006/relationships" r:embed="rId1"/>
          <a:srcRect l="11228" t="50" r="4195" b="29183"/>
          <a:stretch/>
        </xdr:blipFill>
        <xdr:spPr>
          <a:xfrm>
            <a:off x="8807826" y="625571"/>
            <a:ext cx="6183359" cy="4830637"/>
          </a:xfrm>
          <a:prstGeom prst="rect">
            <a:avLst/>
          </a:prstGeom>
        </xdr:spPr>
      </xdr:pic>
      <xdr:graphicFrame macro="">
        <xdr:nvGraphicFramePr>
          <xdr:cNvPr id="4" name="Chart 3">
            <a:extLst>
              <a:ext uri="{FF2B5EF4-FFF2-40B4-BE49-F238E27FC236}">
                <a16:creationId xmlns="" xmlns:a16="http://schemas.microsoft.com/office/drawing/2014/main" id="{8E83D45D-B9E1-42CA-9797-E972D9083588}"/>
              </a:ext>
            </a:extLst>
          </xdr:cNvPr>
          <xdr:cNvGraphicFramePr/>
        </xdr:nvGraphicFramePr>
        <xdr:xfrm>
          <a:off x="8466646" y="688939"/>
          <a:ext cx="6401475" cy="45638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6</xdr:col>
      <xdr:colOff>26894</xdr:colOff>
      <xdr:row>53</xdr:row>
      <xdr:rowOff>118783</xdr:rowOff>
    </xdr:from>
    <xdr:to>
      <xdr:col>13</xdr:col>
      <xdr:colOff>112059</xdr:colOff>
      <xdr:row>76</xdr:row>
      <xdr:rowOff>105336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359228</xdr:colOff>
      <xdr:row>0</xdr:row>
      <xdr:rowOff>142603</xdr:rowOff>
    </xdr:from>
    <xdr:to>
      <xdr:col>23</xdr:col>
      <xdr:colOff>354842</xdr:colOff>
      <xdr:row>23</xdr:row>
      <xdr:rowOff>130628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08571" y="142603"/>
          <a:ext cx="6418185" cy="4423954"/>
        </a:xfrm>
        <a:prstGeom prst="rect">
          <a:avLst/>
        </a:prstGeom>
      </xdr:spPr>
    </xdr:pic>
    <xdr:clientData/>
  </xdr:twoCellAnchor>
  <xdr:twoCellAnchor>
    <xdr:from>
      <xdr:col>13</xdr:col>
      <xdr:colOff>560070</xdr:colOff>
      <xdr:row>0</xdr:row>
      <xdr:rowOff>49531</xdr:rowOff>
    </xdr:from>
    <xdr:to>
      <xdr:col>23</xdr:col>
      <xdr:colOff>304800</xdr:colOff>
      <xdr:row>23</xdr:row>
      <xdr:rowOff>156211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8E83D45D-B9E1-42CA-9797-E972D90835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26894</xdr:colOff>
      <xdr:row>53</xdr:row>
      <xdr:rowOff>118783</xdr:rowOff>
    </xdr:from>
    <xdr:to>
      <xdr:col>13</xdr:col>
      <xdr:colOff>112059</xdr:colOff>
      <xdr:row>76</xdr:row>
      <xdr:rowOff>105336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273424</xdr:colOff>
      <xdr:row>1</xdr:row>
      <xdr:rowOff>41910</xdr:rowOff>
    </xdr:from>
    <xdr:to>
      <xdr:col>22</xdr:col>
      <xdr:colOff>600635</xdr:colOff>
      <xdr:row>28</xdr:row>
      <xdr:rowOff>85165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AB4CA8A5-E365-422F-A308-F665487A7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431875</xdr:colOff>
      <xdr:row>3</xdr:row>
      <xdr:rowOff>126403</xdr:rowOff>
    </xdr:from>
    <xdr:to>
      <xdr:col>20</xdr:col>
      <xdr:colOff>93458</xdr:colOff>
      <xdr:row>32</xdr:row>
      <xdr:rowOff>32498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33FF69C3-9806-2308-13A6-BA47351E5E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582930</xdr:colOff>
      <xdr:row>31</xdr:row>
      <xdr:rowOff>121920</xdr:rowOff>
    </xdr:from>
    <xdr:to>
      <xdr:col>18</xdr:col>
      <xdr:colOff>335280</xdr:colOff>
      <xdr:row>37</xdr:row>
      <xdr:rowOff>167640</xdr:rowOff>
    </xdr:to>
    <xdr:sp macro="" textlink="">
      <xdr:nvSpPr>
        <xdr:cNvPr id="2" name="Rectangular Callout 1"/>
        <xdr:cNvSpPr/>
      </xdr:nvSpPr>
      <xdr:spPr>
        <a:xfrm>
          <a:off x="8027670" y="5833110"/>
          <a:ext cx="4232910" cy="1143000"/>
        </a:xfrm>
        <a:prstGeom prst="wedgeRectCallout">
          <a:avLst>
            <a:gd name="adj1" fmla="val -34244"/>
            <a:gd name="adj2" fmla="val -113500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>
          <a:prstTxWarp prst="textNoShape">
            <a:avLst/>
          </a:prstTxWarp>
          <a:noAutofit/>
        </a:bodyPr>
        <a:lstStyle/>
        <a:p>
          <a:pPr algn="l"/>
          <a:r>
            <a:rPr lang="en-US" sz="1100"/>
            <a:t>This</a:t>
          </a:r>
          <a:r>
            <a:rPr lang="en-US" sz="1100" baseline="0"/>
            <a:t> is the simplified formula used in my VST. </a:t>
          </a:r>
        </a:p>
        <a:p>
          <a:pPr algn="l"/>
          <a:r>
            <a:rPr lang="en-US" sz="1100" baseline="0"/>
            <a:t>Square the sum of the signal with a small dc offset, subtract average, normalize the result.</a:t>
          </a:r>
        </a:p>
        <a:p>
          <a:pPr algn="l"/>
          <a:r>
            <a:rPr lang="en-US" sz="1100" baseline="0"/>
            <a:t>Output has the same form as the full solution.</a:t>
          </a:r>
        </a:p>
        <a:p>
          <a:pPr algn="l"/>
          <a:r>
            <a:rPr lang="en-US" sz="1100" baseline="0"/>
            <a:t>Trivial, inverted phase problem can be resolved.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Basic Roman"/>
        <a:cs typeface="Basic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>
        <a:prstTxWarp prst="textNoShape">
          <a:avLst/>
        </a:prstTxWarp>
        <a:noAutofit/>
      </a:bodyPr>
      <a:lstStyle>
        <a:defPPr>
          <a:defRPr/>
        </a:defPPr>
      </a:lstStyle>
      <a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8"/>
  <sheetViews>
    <sheetView zoomScale="85" zoomScaleNormal="85" workbookViewId="0">
      <selection activeCell="B27" sqref="B27"/>
    </sheetView>
  </sheetViews>
  <sheetFormatPr defaultRowHeight="14.4" x14ac:dyDescent="0.55000000000000004"/>
  <sheetData>
    <row r="1" spans="1:13" ht="28.8" x14ac:dyDescent="0.55000000000000004">
      <c r="A1" s="18" t="s">
        <v>56</v>
      </c>
      <c r="B1" s="3">
        <v>1</v>
      </c>
      <c r="C1" s="3">
        <v>0.5</v>
      </c>
      <c r="D1" s="3">
        <v>0</v>
      </c>
      <c r="E1" s="3">
        <v>-0.5</v>
      </c>
      <c r="F1" s="3">
        <v>-1</v>
      </c>
      <c r="G1" s="3">
        <v>-1.5</v>
      </c>
      <c r="H1" s="3">
        <v>-2</v>
      </c>
      <c r="I1" s="3">
        <v>-2.5</v>
      </c>
      <c r="J1" s="3">
        <v>-3</v>
      </c>
      <c r="K1" s="3">
        <v>-3.5</v>
      </c>
      <c r="L1" s="3">
        <v>-4</v>
      </c>
      <c r="M1" s="3">
        <v>-4.5</v>
      </c>
    </row>
    <row r="2" spans="1:13" x14ac:dyDescent="0.55000000000000004">
      <c r="A2">
        <v>0</v>
      </c>
      <c r="B2">
        <v>0</v>
      </c>
      <c r="C2">
        <v>0</v>
      </c>
      <c r="D2">
        <v>0</v>
      </c>
      <c r="E2">
        <v>1E-3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55000000000000004">
      <c r="A3">
        <v>10</v>
      </c>
      <c r="B3">
        <v>1.45</v>
      </c>
      <c r="C3">
        <v>0.73</v>
      </c>
      <c r="D3" s="4">
        <v>0.55000000000000004</v>
      </c>
      <c r="E3">
        <v>7.0000000000000007E-2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55000000000000004">
      <c r="A4">
        <f>A2+20</f>
        <v>20</v>
      </c>
      <c r="B4">
        <v>2.0499999999999998</v>
      </c>
      <c r="C4">
        <v>1.25</v>
      </c>
      <c r="D4">
        <v>0.76</v>
      </c>
      <c r="E4">
        <v>0.14000000000000001</v>
      </c>
      <c r="F4">
        <v>1E-3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55000000000000004">
      <c r="A5">
        <f t="shared" ref="A5:A23" si="0">A4+20</f>
        <v>40</v>
      </c>
      <c r="B5">
        <v>2.85</v>
      </c>
      <c r="C5">
        <v>2</v>
      </c>
      <c r="D5">
        <v>1.1499999999999999</v>
      </c>
      <c r="E5">
        <v>0.33</v>
      </c>
      <c r="F5">
        <v>0.05</v>
      </c>
      <c r="G5">
        <v>1E-3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55000000000000004">
      <c r="A6">
        <f t="shared" si="0"/>
        <v>60</v>
      </c>
      <c r="B6">
        <v>3.5</v>
      </c>
      <c r="C6">
        <v>2.58</v>
      </c>
      <c r="D6">
        <v>1.53</v>
      </c>
      <c r="E6">
        <v>0.56999999999999995</v>
      </c>
      <c r="F6">
        <v>0.14000000000000001</v>
      </c>
      <c r="G6">
        <v>0.04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55000000000000004">
      <c r="A7">
        <f t="shared" si="0"/>
        <v>80</v>
      </c>
      <c r="B7">
        <v>4</v>
      </c>
      <c r="C7">
        <v>3.1</v>
      </c>
      <c r="D7">
        <v>1.95</v>
      </c>
      <c r="E7">
        <v>0.9</v>
      </c>
      <c r="F7">
        <v>0.28999999999999998</v>
      </c>
      <c r="G7">
        <v>0.09</v>
      </c>
      <c r="H7">
        <v>1E-3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55000000000000004">
      <c r="A8">
        <f t="shared" si="0"/>
        <v>100</v>
      </c>
      <c r="B8" s="4"/>
      <c r="C8">
        <v>3.55</v>
      </c>
      <c r="D8">
        <v>2.42</v>
      </c>
      <c r="E8">
        <v>1.3</v>
      </c>
      <c r="F8">
        <v>0.5</v>
      </c>
      <c r="G8">
        <v>0.18</v>
      </c>
      <c r="H8">
        <v>0.04</v>
      </c>
      <c r="I8">
        <v>1E-3</v>
      </c>
      <c r="J8">
        <v>0</v>
      </c>
      <c r="K8">
        <v>0</v>
      </c>
      <c r="L8">
        <v>0</v>
      </c>
      <c r="M8">
        <v>0</v>
      </c>
    </row>
    <row r="9" spans="1:13" x14ac:dyDescent="0.55000000000000004">
      <c r="A9">
        <f t="shared" si="0"/>
        <v>120</v>
      </c>
      <c r="B9" s="4"/>
      <c r="C9">
        <v>4</v>
      </c>
      <c r="D9">
        <v>2.9</v>
      </c>
      <c r="E9">
        <v>1.75</v>
      </c>
      <c r="F9">
        <v>0.78</v>
      </c>
      <c r="G9">
        <v>0.28999999999999998</v>
      </c>
      <c r="H9">
        <v>0.08</v>
      </c>
      <c r="I9">
        <v>0.01</v>
      </c>
      <c r="J9">
        <v>0</v>
      </c>
      <c r="K9">
        <v>0</v>
      </c>
      <c r="L9">
        <v>0</v>
      </c>
      <c r="M9">
        <v>0</v>
      </c>
    </row>
    <row r="10" spans="1:13" x14ac:dyDescent="0.55000000000000004">
      <c r="A10">
        <f t="shared" si="0"/>
        <v>140</v>
      </c>
      <c r="B10" s="4"/>
      <c r="C10" s="4"/>
      <c r="D10">
        <v>3.4</v>
      </c>
      <c r="E10">
        <v>2.1800000000000002</v>
      </c>
      <c r="F10">
        <v>1.1000000000000001</v>
      </c>
      <c r="G10">
        <v>0.44000000000000006</v>
      </c>
      <c r="H10">
        <v>0.15</v>
      </c>
      <c r="I10">
        <v>0.04</v>
      </c>
      <c r="J10">
        <v>0</v>
      </c>
      <c r="K10">
        <v>0</v>
      </c>
      <c r="L10">
        <v>0</v>
      </c>
      <c r="M10">
        <v>0</v>
      </c>
    </row>
    <row r="11" spans="1:13" x14ac:dyDescent="0.55000000000000004">
      <c r="A11">
        <f t="shared" si="0"/>
        <v>160</v>
      </c>
      <c r="B11" s="4"/>
      <c r="C11" s="4"/>
      <c r="D11">
        <v>3.85</v>
      </c>
      <c r="E11">
        <v>2.62</v>
      </c>
      <c r="F11">
        <v>1.45</v>
      </c>
      <c r="G11">
        <v>0.64</v>
      </c>
      <c r="H11">
        <v>0.24</v>
      </c>
      <c r="I11">
        <v>0.09</v>
      </c>
      <c r="J11">
        <v>1E-3</v>
      </c>
      <c r="K11">
        <v>0</v>
      </c>
      <c r="L11">
        <v>0</v>
      </c>
      <c r="M11">
        <v>0</v>
      </c>
    </row>
    <row r="12" spans="1:13" x14ac:dyDescent="0.55000000000000004">
      <c r="A12">
        <f t="shared" si="0"/>
        <v>180</v>
      </c>
      <c r="B12" s="4"/>
      <c r="C12" s="4"/>
      <c r="D12" s="4"/>
      <c r="E12">
        <v>3.1</v>
      </c>
      <c r="F12">
        <v>1.87</v>
      </c>
      <c r="G12">
        <v>0.90999999999999992</v>
      </c>
      <c r="H12">
        <v>0.37</v>
      </c>
      <c r="I12">
        <v>0.14000000000000001</v>
      </c>
      <c r="J12">
        <v>0.03</v>
      </c>
      <c r="K12">
        <v>0</v>
      </c>
      <c r="L12">
        <v>0</v>
      </c>
      <c r="M12">
        <v>0</v>
      </c>
    </row>
    <row r="13" spans="1:13" x14ac:dyDescent="0.55000000000000004">
      <c r="A13">
        <f t="shared" si="0"/>
        <v>200</v>
      </c>
      <c r="B13" s="4"/>
      <c r="C13" s="4"/>
      <c r="D13" s="4"/>
      <c r="E13">
        <v>3.55</v>
      </c>
      <c r="F13">
        <v>2.2799999999999998</v>
      </c>
      <c r="G13">
        <v>1.23</v>
      </c>
      <c r="H13">
        <v>0.54</v>
      </c>
      <c r="I13">
        <v>0.24</v>
      </c>
      <c r="J13">
        <v>0.08</v>
      </c>
      <c r="K13">
        <v>1E-3</v>
      </c>
      <c r="L13">
        <v>0</v>
      </c>
      <c r="M13">
        <v>0</v>
      </c>
    </row>
    <row r="14" spans="1:13" x14ac:dyDescent="0.55000000000000004">
      <c r="A14">
        <f t="shared" si="0"/>
        <v>220</v>
      </c>
      <c r="B14" s="4"/>
      <c r="C14" s="4"/>
      <c r="D14" s="4"/>
      <c r="E14" s="4"/>
      <c r="F14">
        <v>2.7</v>
      </c>
      <c r="G14">
        <v>1.59</v>
      </c>
      <c r="H14">
        <v>0.76</v>
      </c>
      <c r="I14">
        <v>0.36</v>
      </c>
      <c r="J14">
        <v>0.14000000000000001</v>
      </c>
      <c r="K14">
        <v>0.05</v>
      </c>
      <c r="L14">
        <v>0</v>
      </c>
      <c r="M14">
        <v>0</v>
      </c>
    </row>
    <row r="15" spans="1:13" x14ac:dyDescent="0.55000000000000004">
      <c r="A15">
        <f t="shared" si="0"/>
        <v>240</v>
      </c>
      <c r="B15" s="4"/>
      <c r="C15" s="4"/>
      <c r="D15" s="4"/>
      <c r="E15" s="4"/>
      <c r="F15">
        <v>3.15</v>
      </c>
      <c r="G15">
        <v>2</v>
      </c>
      <c r="H15">
        <v>1.02</v>
      </c>
      <c r="I15">
        <v>0.54</v>
      </c>
      <c r="J15">
        <v>0.22000000000000003</v>
      </c>
      <c r="K15">
        <v>0.1</v>
      </c>
      <c r="L15">
        <v>1E-3</v>
      </c>
      <c r="M15">
        <v>0</v>
      </c>
    </row>
    <row r="16" spans="1:13" x14ac:dyDescent="0.55000000000000004">
      <c r="A16">
        <f t="shared" si="0"/>
        <v>260</v>
      </c>
      <c r="B16" s="4"/>
      <c r="C16" s="4"/>
      <c r="D16" s="4"/>
      <c r="E16" s="4"/>
      <c r="F16" s="4"/>
      <c r="G16">
        <v>2.37</v>
      </c>
      <c r="H16">
        <v>1.32</v>
      </c>
      <c r="I16">
        <v>0.75</v>
      </c>
      <c r="J16">
        <v>0.32</v>
      </c>
      <c r="K16">
        <v>0.16</v>
      </c>
      <c r="L16">
        <v>1.4999999999999999E-2</v>
      </c>
      <c r="M16">
        <v>0</v>
      </c>
    </row>
    <row r="17" spans="1:14" x14ac:dyDescent="0.55000000000000004">
      <c r="A17">
        <f t="shared" si="0"/>
        <v>280</v>
      </c>
      <c r="B17" s="4"/>
      <c r="C17" s="4"/>
      <c r="D17" s="4"/>
      <c r="E17" s="4"/>
      <c r="F17" s="4"/>
      <c r="G17">
        <v>2.75</v>
      </c>
      <c r="H17">
        <v>1.67</v>
      </c>
      <c r="I17">
        <v>1</v>
      </c>
      <c r="J17">
        <v>0.46000000000000008</v>
      </c>
      <c r="K17">
        <v>0.23000000000000004</v>
      </c>
      <c r="L17">
        <v>0.06</v>
      </c>
      <c r="M17">
        <v>1E-3</v>
      </c>
    </row>
    <row r="18" spans="1:14" x14ac:dyDescent="0.55000000000000004">
      <c r="A18">
        <f t="shared" si="0"/>
        <v>300</v>
      </c>
      <c r="B18" s="4"/>
      <c r="C18" s="4"/>
      <c r="D18" s="4"/>
      <c r="E18" s="4"/>
      <c r="F18" s="4"/>
      <c r="G18" s="4"/>
      <c r="H18">
        <v>2.0499999999999998</v>
      </c>
      <c r="I18">
        <v>1.29</v>
      </c>
      <c r="J18">
        <v>0.64</v>
      </c>
      <c r="K18">
        <v>0.32</v>
      </c>
      <c r="L18">
        <v>0.13</v>
      </c>
      <c r="M18">
        <v>0.02</v>
      </c>
    </row>
    <row r="19" spans="1:14" x14ac:dyDescent="0.55000000000000004">
      <c r="A19">
        <f t="shared" si="0"/>
        <v>320</v>
      </c>
      <c r="B19" s="4"/>
      <c r="C19" s="4"/>
      <c r="D19" s="4"/>
      <c r="E19" s="4"/>
      <c r="F19" s="4"/>
      <c r="G19" s="4"/>
      <c r="H19" s="4"/>
      <c r="I19">
        <v>1.6</v>
      </c>
      <c r="J19">
        <v>0.86999999999999988</v>
      </c>
      <c r="K19">
        <v>0.45</v>
      </c>
      <c r="L19">
        <v>0.22000000000000003</v>
      </c>
      <c r="M19">
        <v>0.08</v>
      </c>
    </row>
    <row r="20" spans="1:14" x14ac:dyDescent="0.55000000000000004">
      <c r="A20">
        <f t="shared" si="0"/>
        <v>340</v>
      </c>
      <c r="B20" s="4"/>
      <c r="C20" s="4"/>
      <c r="D20" s="4"/>
      <c r="E20" s="4"/>
      <c r="F20" s="4"/>
      <c r="G20" s="4"/>
      <c r="H20" s="4"/>
      <c r="I20">
        <v>1.95</v>
      </c>
      <c r="J20">
        <v>1.17</v>
      </c>
      <c r="K20">
        <v>0.6</v>
      </c>
      <c r="L20">
        <v>0.34</v>
      </c>
      <c r="M20">
        <v>0.15</v>
      </c>
    </row>
    <row r="21" spans="1:14" x14ac:dyDescent="0.55000000000000004">
      <c r="A21">
        <f t="shared" si="0"/>
        <v>360</v>
      </c>
      <c r="B21" s="4"/>
      <c r="C21" s="4"/>
      <c r="D21" s="4"/>
      <c r="E21" s="4"/>
      <c r="F21" s="4"/>
      <c r="G21" s="4"/>
      <c r="H21" s="4"/>
      <c r="I21" s="4"/>
      <c r="J21">
        <v>1.51</v>
      </c>
      <c r="K21">
        <v>0.78</v>
      </c>
      <c r="L21">
        <v>0.46000000000000008</v>
      </c>
      <c r="M21">
        <v>0.24</v>
      </c>
    </row>
    <row r="22" spans="1:14" x14ac:dyDescent="0.55000000000000004">
      <c r="A22">
        <f t="shared" si="0"/>
        <v>380</v>
      </c>
      <c r="B22" s="4"/>
      <c r="C22" s="4"/>
      <c r="D22" s="4"/>
      <c r="E22" s="4"/>
      <c r="F22" s="4"/>
      <c r="G22" s="4"/>
      <c r="H22" s="4"/>
      <c r="I22" s="4"/>
      <c r="J22" s="4"/>
      <c r="K22">
        <v>0.96</v>
      </c>
      <c r="L22">
        <v>0.61</v>
      </c>
      <c r="M22">
        <v>0.36</v>
      </c>
    </row>
    <row r="23" spans="1:14" x14ac:dyDescent="0.55000000000000004">
      <c r="A23">
        <f t="shared" si="0"/>
        <v>400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>
        <v>0.76</v>
      </c>
      <c r="M23">
        <v>0.5</v>
      </c>
    </row>
    <row r="24" spans="1:14" x14ac:dyDescent="0.55000000000000004">
      <c r="A24">
        <v>420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6" spans="1:14" x14ac:dyDescent="0.55000000000000004">
      <c r="A26" s="5" t="s">
        <v>19</v>
      </c>
    </row>
    <row r="27" spans="1:14" ht="16.8" x14ac:dyDescent="0.75">
      <c r="A27">
        <v>1</v>
      </c>
      <c r="B27">
        <f>INDEX(LINEST(B$2:B$7,$A$2:$A$7^{1,2}),1,$A27)</f>
        <v>-5.6644284821986295E-4</v>
      </c>
      <c r="C27">
        <f>INDEX(LINEST(C$2:C$9,$A$2:$A$9^{1,2}),1,$A27)</f>
        <v>-1.6225687458081825E-4</v>
      </c>
      <c r="D27">
        <f>INDEX(LINEST(D$2:D$11,$A$2:$A$11^{1,2}),1,$A27)</f>
        <v>1.3714858287093221E-6</v>
      </c>
      <c r="E27">
        <f>INDEX(LINEST(E$2:E$13,$A$2:$A$13^{1,2}),1,$A27)</f>
        <v>4.8595660159733727E-5</v>
      </c>
      <c r="F27">
        <f>INDEX(LINEST(F$4:F$15,$A$4:$A$15^{1,2}),1,$A27)</f>
        <v>5.3324800199800152E-5</v>
      </c>
      <c r="G27">
        <f>INDEX(LINEST(G$5:G$17,$A$5:$A$17^{1,2}),1,$A27)</f>
        <v>5.0764235764235768E-5</v>
      </c>
      <c r="H27">
        <f>INDEX(LINEST(H$7:H$18,$A$7:$A$18^{1,2}),1,$A27)</f>
        <v>4.7586788211788198E-5</v>
      </c>
      <c r="I27">
        <f>INDEX(LINEST(I$9:I$20,$A$9:$A$20^{1,2}),1,$A27)</f>
        <v>4.4074675324675357E-5</v>
      </c>
      <c r="J27">
        <f>INDEX(LINEST(J$11:J$21,$A$11:$A$21^{1,2}),1,$A27)</f>
        <v>4.3458624708624731E-5</v>
      </c>
      <c r="K27">
        <f>INDEX(LINEST(K$13:K$22,$A$13:$A$22^{1,2}),1,$A27)</f>
        <v>2.553030303030302E-5</v>
      </c>
      <c r="L27">
        <f>INDEX(LINEST(L$15:L$23,$A$15:$A$23^{1,2}),1,$A27)</f>
        <v>2.4710497835497868E-5</v>
      </c>
      <c r="M27">
        <f>INDEX(LINEST(M$17:M$23,$A$17:$A$23^{1,2}),1,$A27)</f>
        <v>2.8125000000000003E-5</v>
      </c>
      <c r="N27" s="9" t="s">
        <v>26</v>
      </c>
    </row>
    <row r="28" spans="1:14" ht="16.8" x14ac:dyDescent="0.75">
      <c r="A28">
        <v>2</v>
      </c>
      <c r="B28">
        <f>INDEX(LINEST(B$2:B$7,$A$2:$A$7^{1,2}),1,$A28)</f>
        <v>9.022782635852597E-2</v>
      </c>
      <c r="C28">
        <f>INDEX(LINEST(C$2:C$9,$A$2:$A$9^{1,2}),1,$A28)</f>
        <v>5.0744299128101952E-2</v>
      </c>
      <c r="D28">
        <f>INDEX(LINEST(D$2:D$11,$A$2:$A$11^{1,2}),1,$A28)</f>
        <v>2.2500131716758832E-2</v>
      </c>
      <c r="E28">
        <f>INDEX(LINEST(E$2:E$13,$A$2:$A$13^{1,2}),1,$A28)</f>
        <v>8.6468374780003607E-3</v>
      </c>
      <c r="F28">
        <f>INDEX(LINEST(F$4:F$15,$A$4:$A$15^{1,2}),1,$A28)</f>
        <v>9.1509740259741528E-4</v>
      </c>
      <c r="G28">
        <f>INDEX(LINEST(G$5:G$17,$A$5:$A$17^{1,2}),1,$A28)</f>
        <v>-4.6060939060939103E-3</v>
      </c>
      <c r="H28">
        <f>INDEX(LINEST(H$7:H$18,$A$7:$A$18^{1,2}),1,$A28)</f>
        <v>-8.9974900099900057E-3</v>
      </c>
      <c r="I28">
        <f>INDEX(LINEST(I$9:I$20,$A$9:$A$20^{1,2}),1,$A28)</f>
        <v>-1.1569805194805213E-2</v>
      </c>
      <c r="J28">
        <f>INDEX(LINEST(J$11:J$21,$A$11:$A$21^{1,2}),1,$A28)</f>
        <v>-1.5455303030303041E-2</v>
      </c>
      <c r="K28">
        <f>INDEX(LINEST(K$13:K$22,$A$13:$A$22^{1,2}),1,$A28)</f>
        <v>-9.5951515151515114E-3</v>
      </c>
      <c r="L28">
        <f>INDEX(LINEST(L$15:L$23,$A$15:$A$23^{1,2}),1,$A28)</f>
        <v>-1.0955551948051973E-2</v>
      </c>
      <c r="M28">
        <f>INDEX(LINEST(M$17:M$23,$A$17:$A$23^{1,2}),1,$A28)</f>
        <v>-1.4951785714285718E-2</v>
      </c>
      <c r="N28" s="9" t="s">
        <v>27</v>
      </c>
    </row>
    <row r="29" spans="1:14" ht="16.8" x14ac:dyDescent="0.75">
      <c r="A29">
        <v>3</v>
      </c>
      <c r="B29">
        <f>INDEX(LINEST(B$2:B$7,$A$2:$A$7^{1,2}),1,$A29)</f>
        <v>0.29268582136164789</v>
      </c>
      <c r="C29">
        <f>INDEX(LINEST(C$2:C$9,$A$2:$A$9^{1,2}),1,$A29)</f>
        <v>0.16404091213950356</v>
      </c>
      <c r="D29">
        <f>INDEX(LINEST(D$2:D$11,$A$2:$A$11^{1,2}),1,$A29)</f>
        <v>0.19728534545605036</v>
      </c>
      <c r="E29">
        <f>INDEX(LINEST(E$2:E$13,$A$2:$A$13^{1,2}),1,$A29)</f>
        <v>-4.7965069266280635E-2</v>
      </c>
      <c r="F29">
        <f>INDEX(LINEST(F$4:F$15,$A$4:$A$15^{1,2}),1,$A29)</f>
        <v>-8.1750000000000433E-2</v>
      </c>
      <c r="G29">
        <f>INDEX(LINEST(G$5:G$17,$A$5:$A$17^{1,2}),1,$A29)</f>
        <v>0.11705394605394659</v>
      </c>
      <c r="H29">
        <f>INDEX(LINEST(H$7:H$18,$A$7:$A$18^{1,2}),1,$A29)</f>
        <v>0.45155969030969012</v>
      </c>
      <c r="I29">
        <f>INDEX(LINEST(I$9:I$20,$A$9:$A$20^{1,2}),1,$A29)</f>
        <v>0.78691558441558662</v>
      </c>
      <c r="J29">
        <f>INDEX(LINEST(J$11:J$21,$A$11:$A$21^{1,2}),1,$A29)</f>
        <v>1.4013776223776238</v>
      </c>
      <c r="K29">
        <f>INDEX(LINEST(K$13:K$22,$A$13:$A$22^{1,2}),1,$A29)</f>
        <v>0.91634545454545435</v>
      </c>
      <c r="L29">
        <f>INDEX(LINEST(L$15:L$23,$A$15:$A$23^{1,2}),1,$A29)</f>
        <v>1.1979714285714329</v>
      </c>
      <c r="M29">
        <f>INDEX(LINEST(M$17:M$23,$A$17:$A$23^{1,2,3}),1,$A29)</f>
        <v>-1.6146230158729704E-2</v>
      </c>
      <c r="N29" s="9" t="s">
        <v>28</v>
      </c>
    </row>
    <row r="30" spans="1:14" ht="17.7" x14ac:dyDescent="0.75">
      <c r="N30" s="8" t="s">
        <v>24</v>
      </c>
    </row>
    <row r="31" spans="1:14" x14ac:dyDescent="0.55000000000000004">
      <c r="B31" s="5" t="s">
        <v>0</v>
      </c>
    </row>
    <row r="32" spans="1:14" x14ac:dyDescent="0.55000000000000004">
      <c r="B32" s="2">
        <v>250</v>
      </c>
      <c r="C32" t="s">
        <v>1</v>
      </c>
    </row>
    <row r="34" spans="2:15" x14ac:dyDescent="0.55000000000000004">
      <c r="B34" s="5" t="s">
        <v>2</v>
      </c>
      <c r="E34" s="5" t="s">
        <v>57</v>
      </c>
      <c r="H34" s="5" t="s">
        <v>51</v>
      </c>
      <c r="N34" s="5" t="s">
        <v>58</v>
      </c>
    </row>
    <row r="35" spans="2:15" x14ac:dyDescent="0.55000000000000004">
      <c r="B35" s="2">
        <v>100</v>
      </c>
      <c r="C35" t="s">
        <v>3</v>
      </c>
      <c r="E35" s="8" t="s">
        <v>9</v>
      </c>
      <c r="H35" t="s">
        <v>50</v>
      </c>
      <c r="N35">
        <v>0</v>
      </c>
      <c r="O35">
        <f>B39</f>
        <v>2.4626865671641789</v>
      </c>
    </row>
    <row r="36" spans="2:15" x14ac:dyDescent="0.55000000000000004">
      <c r="B36" s="17">
        <f>B35/66</f>
        <v>1.5151515151515151</v>
      </c>
      <c r="C36" t="s">
        <v>4</v>
      </c>
      <c r="E36">
        <f>-B39/B32</f>
        <v>-9.8507462686567154E-3</v>
      </c>
      <c r="F36" s="9" t="s">
        <v>10</v>
      </c>
      <c r="N36">
        <f>B32</f>
        <v>250</v>
      </c>
      <c r="O36">
        <v>0</v>
      </c>
    </row>
    <row r="37" spans="2:15" x14ac:dyDescent="0.55000000000000004">
      <c r="B37" s="6">
        <f>B35+B36</f>
        <v>101.51515151515152</v>
      </c>
      <c r="C37" t="s">
        <v>5</v>
      </c>
      <c r="E37">
        <f>B39</f>
        <v>2.4626865671641789</v>
      </c>
      <c r="F37" s="9" t="s">
        <v>11</v>
      </c>
      <c r="H37" t="s">
        <v>25</v>
      </c>
    </row>
    <row r="38" spans="2:15" x14ac:dyDescent="0.55000000000000004">
      <c r="H38" t="s">
        <v>16</v>
      </c>
    </row>
    <row r="39" spans="2:15" x14ac:dyDescent="0.55000000000000004">
      <c r="B39" s="1">
        <f>B32/B37</f>
        <v>2.4626865671641789</v>
      </c>
      <c r="C39" t="s">
        <v>6</v>
      </c>
    </row>
    <row r="42" spans="2:15" x14ac:dyDescent="0.55000000000000004">
      <c r="B42">
        <v>1</v>
      </c>
      <c r="C42">
        <v>0.5</v>
      </c>
      <c r="D42">
        <v>0</v>
      </c>
      <c r="E42">
        <v>-0.5</v>
      </c>
      <c r="F42">
        <v>-1</v>
      </c>
      <c r="G42">
        <v>-1.5</v>
      </c>
      <c r="H42">
        <v>-2</v>
      </c>
      <c r="I42">
        <v>-2.5</v>
      </c>
      <c r="J42">
        <v>-3</v>
      </c>
      <c r="K42">
        <v>-3.5</v>
      </c>
      <c r="L42">
        <v>-4</v>
      </c>
      <c r="M42">
        <v>-4.5</v>
      </c>
    </row>
    <row r="43" spans="2:15" x14ac:dyDescent="0.55000000000000004">
      <c r="B43">
        <f t="shared" ref="B43:D45" si="1">B27</f>
        <v>-5.6644284821986295E-4</v>
      </c>
      <c r="C43">
        <f t="shared" si="1"/>
        <v>-1.6225687458081825E-4</v>
      </c>
      <c r="D43">
        <f t="shared" si="1"/>
        <v>1.3714858287093221E-6</v>
      </c>
      <c r="E43">
        <f t="shared" ref="E43:M45" si="2">E27</f>
        <v>4.8595660159733727E-5</v>
      </c>
      <c r="F43">
        <f t="shared" si="2"/>
        <v>5.3324800199800152E-5</v>
      </c>
      <c r="G43">
        <f t="shared" si="2"/>
        <v>5.0764235764235768E-5</v>
      </c>
      <c r="H43">
        <f t="shared" si="2"/>
        <v>4.7586788211788198E-5</v>
      </c>
      <c r="I43">
        <f t="shared" si="2"/>
        <v>4.4074675324675357E-5</v>
      </c>
      <c r="J43">
        <f t="shared" si="2"/>
        <v>4.3458624708624731E-5</v>
      </c>
      <c r="K43">
        <f t="shared" si="2"/>
        <v>2.553030303030302E-5</v>
      </c>
      <c r="L43">
        <f t="shared" si="2"/>
        <v>2.4710497835497868E-5</v>
      </c>
      <c r="M43">
        <f t="shared" si="2"/>
        <v>2.8125000000000003E-5</v>
      </c>
    </row>
    <row r="44" spans="2:15" x14ac:dyDescent="0.55000000000000004">
      <c r="B44">
        <f t="shared" si="1"/>
        <v>9.022782635852597E-2</v>
      </c>
      <c r="C44">
        <f t="shared" si="1"/>
        <v>5.0744299128101952E-2</v>
      </c>
      <c r="D44">
        <f t="shared" si="1"/>
        <v>2.2500131716758832E-2</v>
      </c>
      <c r="E44">
        <f t="shared" si="2"/>
        <v>8.6468374780003607E-3</v>
      </c>
      <c r="F44">
        <f t="shared" si="2"/>
        <v>9.1509740259741528E-4</v>
      </c>
      <c r="G44">
        <f t="shared" si="2"/>
        <v>-4.6060939060939103E-3</v>
      </c>
      <c r="H44">
        <f t="shared" si="2"/>
        <v>-8.9974900099900057E-3</v>
      </c>
      <c r="I44">
        <f t="shared" si="2"/>
        <v>-1.1569805194805213E-2</v>
      </c>
      <c r="J44">
        <f t="shared" si="2"/>
        <v>-1.5455303030303041E-2</v>
      </c>
      <c r="K44">
        <f t="shared" si="2"/>
        <v>-9.5951515151515114E-3</v>
      </c>
      <c r="L44">
        <f t="shared" si="2"/>
        <v>-1.0955551948051973E-2</v>
      </c>
      <c r="M44">
        <f t="shared" si="2"/>
        <v>-1.4951785714285718E-2</v>
      </c>
    </row>
    <row r="45" spans="2:15" x14ac:dyDescent="0.55000000000000004">
      <c r="B45">
        <f t="shared" si="1"/>
        <v>0.29268582136164789</v>
      </c>
      <c r="C45">
        <f t="shared" si="1"/>
        <v>0.16404091213950356</v>
      </c>
      <c r="D45">
        <f t="shared" si="1"/>
        <v>0.19728534545605036</v>
      </c>
      <c r="E45">
        <f t="shared" si="2"/>
        <v>-4.7965069266280635E-2</v>
      </c>
      <c r="F45">
        <f t="shared" si="2"/>
        <v>-8.1750000000000433E-2</v>
      </c>
      <c r="G45">
        <f t="shared" si="2"/>
        <v>0.11705394605394659</v>
      </c>
      <c r="H45">
        <f t="shared" si="2"/>
        <v>0.45155969030969012</v>
      </c>
      <c r="I45">
        <f t="shared" si="2"/>
        <v>0.78691558441558662</v>
      </c>
      <c r="J45">
        <f t="shared" si="2"/>
        <v>1.4013776223776238</v>
      </c>
      <c r="K45">
        <f t="shared" si="2"/>
        <v>0.91634545454545435</v>
      </c>
      <c r="L45">
        <f t="shared" si="2"/>
        <v>1.1979714285714329</v>
      </c>
      <c r="M45">
        <f t="shared" si="2"/>
        <v>-1.6146230158729704E-2</v>
      </c>
    </row>
    <row r="46" spans="2:15" x14ac:dyDescent="0.55000000000000004">
      <c r="B46">
        <f>B43</f>
        <v>-5.6644284821986295E-4</v>
      </c>
      <c r="C46">
        <f>C43</f>
        <v>-1.6225687458081825E-4</v>
      </c>
      <c r="D46">
        <f>D43</f>
        <v>1.3714858287093221E-6</v>
      </c>
      <c r="E46">
        <f t="shared" ref="E46:M46" si="3">E43</f>
        <v>4.8595660159733727E-5</v>
      </c>
      <c r="F46">
        <f t="shared" si="3"/>
        <v>5.3324800199800152E-5</v>
      </c>
      <c r="G46">
        <f t="shared" si="3"/>
        <v>5.0764235764235768E-5</v>
      </c>
      <c r="H46">
        <f t="shared" si="3"/>
        <v>4.7586788211788198E-5</v>
      </c>
      <c r="I46">
        <f t="shared" si="3"/>
        <v>4.4074675324675357E-5</v>
      </c>
      <c r="J46">
        <f t="shared" si="3"/>
        <v>4.3458624708624731E-5</v>
      </c>
      <c r="K46">
        <f t="shared" si="3"/>
        <v>2.553030303030302E-5</v>
      </c>
      <c r="L46">
        <f t="shared" si="3"/>
        <v>2.4710497835497868E-5</v>
      </c>
      <c r="M46">
        <f t="shared" si="3"/>
        <v>2.8125000000000003E-5</v>
      </c>
      <c r="N46" t="s">
        <v>47</v>
      </c>
    </row>
    <row r="47" spans="2:15" x14ac:dyDescent="0.55000000000000004">
      <c r="B47">
        <f>B44-$E$36</f>
        <v>0.10007857262718269</v>
      </c>
      <c r="C47">
        <f>C44-$E$36</f>
        <v>6.0595045396758668E-2</v>
      </c>
      <c r="D47">
        <f>D44-$E$36</f>
        <v>3.2350877985415548E-2</v>
      </c>
      <c r="E47">
        <f t="shared" ref="E47:L47" si="4">E44-$E$36</f>
        <v>1.8497583746657074E-2</v>
      </c>
      <c r="F47">
        <f t="shared" si="4"/>
        <v>1.0765843671254131E-2</v>
      </c>
      <c r="G47">
        <f t="shared" si="4"/>
        <v>5.2446523625628051E-3</v>
      </c>
      <c r="H47">
        <f t="shared" si="4"/>
        <v>8.5325625866670973E-4</v>
      </c>
      <c r="I47">
        <f t="shared" si="4"/>
        <v>-1.7190589261484972E-3</v>
      </c>
      <c r="J47">
        <f t="shared" si="4"/>
        <v>-5.604556761646326E-3</v>
      </c>
      <c r="K47">
        <f t="shared" si="4"/>
        <v>2.5559475350520403E-4</v>
      </c>
      <c r="L47">
        <f t="shared" si="4"/>
        <v>-1.1048056793952574E-3</v>
      </c>
      <c r="M47">
        <f>M44-$E$36</f>
        <v>-5.1010394456290024E-3</v>
      </c>
      <c r="N47" t="s">
        <v>48</v>
      </c>
    </row>
    <row r="48" spans="2:15" x14ac:dyDescent="0.55000000000000004">
      <c r="B48">
        <f>B45-$E$37</f>
        <v>-2.1700007458025308</v>
      </c>
      <c r="C48">
        <f>C45-$E$37</f>
        <v>-2.2986456550246754</v>
      </c>
      <c r="D48">
        <f>D45-$E$37</f>
        <v>-2.2654012217081285</v>
      </c>
      <c r="E48">
        <f t="shared" ref="E48:L48" si="5">E45-$E$37</f>
        <v>-2.5106516364304596</v>
      </c>
      <c r="F48">
        <f t="shared" si="5"/>
        <v>-2.5444365671641793</v>
      </c>
      <c r="G48">
        <f t="shared" si="5"/>
        <v>-2.3456326211102323</v>
      </c>
      <c r="H48">
        <f t="shared" si="5"/>
        <v>-2.0111268768544885</v>
      </c>
      <c r="I48">
        <f t="shared" si="5"/>
        <v>-1.6757709827485923</v>
      </c>
      <c r="J48">
        <f t="shared" si="5"/>
        <v>-1.0613089447865551</v>
      </c>
      <c r="K48">
        <f t="shared" si="5"/>
        <v>-1.5463411126187245</v>
      </c>
      <c r="L48">
        <f t="shared" si="5"/>
        <v>-1.264715138592746</v>
      </c>
      <c r="M48">
        <f>M45-$E$37</f>
        <v>-2.4788327973229087</v>
      </c>
      <c r="N48" t="s">
        <v>49</v>
      </c>
    </row>
    <row r="49" spans="2:17" x14ac:dyDescent="0.55000000000000004">
      <c r="B49" s="7">
        <f>(-B47+SQRT(B47^2-4*B46*B48))/2/B46</f>
        <v>25.308223573380115</v>
      </c>
      <c r="C49" s="7">
        <f>(-C47+SQRT(C47^2-4*C46*C48))/2/C46</f>
        <v>42.851530497227188</v>
      </c>
      <c r="D49" s="7">
        <f>(-D47+SQRT(D47^2-4*D46*D48))/2/D46</f>
        <v>69.819298060571811</v>
      </c>
      <c r="E49" s="7">
        <f t="shared" ref="E49:L49" si="6">(-E47+SQRT(E47^2-4*E46*E48))/2/E46</f>
        <v>106.13493247746845</v>
      </c>
      <c r="F49" s="7">
        <f t="shared" si="6"/>
        <v>139.69051625162524</v>
      </c>
      <c r="G49" s="7">
        <f t="shared" si="6"/>
        <v>169.41959165521141</v>
      </c>
      <c r="H49" s="7">
        <f t="shared" si="6"/>
        <v>196.80808407309789</v>
      </c>
      <c r="I49" s="7">
        <f t="shared" si="6"/>
        <v>215.46464605876909</v>
      </c>
      <c r="J49" s="7">
        <f>(-J47+SQRT(J47^2-4*J46*J48))/2/J46</f>
        <v>233.5347769540511</v>
      </c>
      <c r="K49" s="7">
        <f t="shared" si="6"/>
        <v>241.15258511882831</v>
      </c>
      <c r="L49" s="7">
        <f t="shared" si="6"/>
        <v>249.68961784524114</v>
      </c>
      <c r="M49" s="7">
        <f>(-M47+SQRT(M47^2-4*M46*M48))/2/M46</f>
        <v>401.1043346829544</v>
      </c>
      <c r="N49" t="s">
        <v>52</v>
      </c>
    </row>
    <row r="50" spans="2:17" x14ac:dyDescent="0.55000000000000004">
      <c r="B50" s="7">
        <f>(B43*B49+B44)*B49+B45</f>
        <v>2.2133816782323743</v>
      </c>
      <c r="C50" s="7">
        <f>(C43*C49+C44)*C49+C45</f>
        <v>2.0405670130123892</v>
      </c>
      <c r="D50" s="7">
        <f>(D43*D49+D44)*D49+D45</f>
        <v>1.7749143773137444</v>
      </c>
      <c r="E50" s="7">
        <f t="shared" ref="E50:M50" si="7">(E43*E49+E44)*E49+E45</f>
        <v>1.4171782770876242</v>
      </c>
      <c r="F50" s="7">
        <f t="shared" si="7"/>
        <v>1.0866307354317515</v>
      </c>
      <c r="G50" s="7">
        <f t="shared" si="7"/>
        <v>0.79377715682926053</v>
      </c>
      <c r="H50" s="7">
        <f t="shared" si="7"/>
        <v>0.52398006733963254</v>
      </c>
      <c r="I50" s="7">
        <f t="shared" si="7"/>
        <v>0.34019900897331901</v>
      </c>
      <c r="J50" s="7">
        <f t="shared" si="7"/>
        <v>0.16219473448248145</v>
      </c>
      <c r="K50" s="7">
        <f t="shared" si="7"/>
        <v>8.7153639127959925E-2</v>
      </c>
      <c r="L50" s="7">
        <f t="shared" si="7"/>
        <v>3.0574958528484242E-3</v>
      </c>
      <c r="M50" s="7">
        <f t="shared" si="7"/>
        <v>-1.4884904610559679</v>
      </c>
      <c r="N50" t="s">
        <v>53</v>
      </c>
    </row>
    <row r="51" spans="2:17" x14ac:dyDescent="0.55000000000000004">
      <c r="B51">
        <f t="shared" ref="B51:C51" si="8">B47^2-4*B46*B48</f>
        <v>5.09899508672783E-3</v>
      </c>
      <c r="C51">
        <f t="shared" si="8"/>
        <v>2.1798752876229172E-3</v>
      </c>
      <c r="D51">
        <f t="shared" ref="D51:M51" si="9">D47^2-4*D46*D48</f>
        <v>1.0590071691148983E-3</v>
      </c>
      <c r="E51">
        <f t="shared" si="9"/>
        <v>8.3018769927840788E-4</v>
      </c>
      <c r="F51">
        <f t="shared" si="9"/>
        <v>6.5862967621426361E-4</v>
      </c>
      <c r="G51">
        <f t="shared" si="9"/>
        <v>5.0380336798142413E-4</v>
      </c>
      <c r="H51">
        <f t="shared" si="9"/>
        <v>3.835403212665923E-4</v>
      </c>
      <c r="I51">
        <f t="shared" si="9"/>
        <v>2.9839141152419624E-4</v>
      </c>
      <c r="J51">
        <f t="shared" si="9"/>
        <v>2.1590316502005728E-4</v>
      </c>
      <c r="K51">
        <f t="shared" si="9"/>
        <v>1.5797955745150725E-4</v>
      </c>
      <c r="L51">
        <f t="shared" si="9"/>
        <v>1.2622755836809376E-4</v>
      </c>
      <c r="M51">
        <f t="shared" si="9"/>
        <v>3.0488929312469035E-4</v>
      </c>
      <c r="N51" t="s">
        <v>54</v>
      </c>
    </row>
    <row r="54" spans="2:17" x14ac:dyDescent="0.55000000000000004">
      <c r="B54" t="s">
        <v>29</v>
      </c>
      <c r="C54" t="s">
        <v>7</v>
      </c>
      <c r="D54" t="s">
        <v>8</v>
      </c>
      <c r="P54" t="s">
        <v>29</v>
      </c>
      <c r="Q54" t="s">
        <v>7</v>
      </c>
    </row>
    <row r="55" spans="2:17" x14ac:dyDescent="0.55000000000000004">
      <c r="B55">
        <v>2</v>
      </c>
      <c r="C55">
        <f>C56</f>
        <v>25.308223573380115</v>
      </c>
      <c r="P55">
        <v>2</v>
      </c>
      <c r="Q55">
        <f t="shared" ref="Q55:Q72" si="10">compute_va(C$74,C$75,C$76,C$77,C$78,P55)</f>
        <v>25.308223573380115</v>
      </c>
    </row>
    <row r="56" spans="2:17" x14ac:dyDescent="0.55000000000000004">
      <c r="B56">
        <v>1.5</v>
      </c>
      <c r="C56">
        <f>C57</f>
        <v>25.308223573380115</v>
      </c>
      <c r="P56">
        <v>1.5</v>
      </c>
      <c r="Q56">
        <f t="shared" si="10"/>
        <v>25.308223573380115</v>
      </c>
    </row>
    <row r="57" spans="2:17" x14ac:dyDescent="0.55000000000000004">
      <c r="B57">
        <v>1</v>
      </c>
      <c r="C57">
        <f>B49</f>
        <v>25.308223573380115</v>
      </c>
      <c r="P57">
        <v>1</v>
      </c>
      <c r="Q57">
        <f t="shared" si="10"/>
        <v>25.308223573380115</v>
      </c>
    </row>
    <row r="58" spans="2:17" x14ac:dyDescent="0.55000000000000004">
      <c r="B58">
        <v>0.5</v>
      </c>
      <c r="C58">
        <f>C49</f>
        <v>42.851530497227188</v>
      </c>
      <c r="P58">
        <v>0.5</v>
      </c>
      <c r="Q58">
        <f t="shared" si="10"/>
        <v>25.308223573380115</v>
      </c>
    </row>
    <row r="59" spans="2:17" x14ac:dyDescent="0.55000000000000004">
      <c r="B59">
        <v>0</v>
      </c>
      <c r="C59" s="19">
        <f>D49</f>
        <v>69.819298060571811</v>
      </c>
      <c r="D59">
        <v>1.8779563536965411</v>
      </c>
      <c r="P59">
        <v>0</v>
      </c>
      <c r="Q59">
        <f t="shared" si="10"/>
        <v>68.302078255607313</v>
      </c>
    </row>
    <row r="60" spans="2:17" x14ac:dyDescent="0.55000000000000004">
      <c r="B60">
        <v>-0.5</v>
      </c>
      <c r="C60" s="19">
        <f>E49</f>
        <v>106.13493247746845</v>
      </c>
      <c r="D60">
        <v>2.0225013415564423</v>
      </c>
      <c r="P60">
        <v>-0.5</v>
      </c>
      <c r="Q60">
        <f t="shared" si="10"/>
        <v>107.00500413943618</v>
      </c>
    </row>
    <row r="61" spans="2:17" x14ac:dyDescent="0.55000000000000004">
      <c r="B61">
        <v>-1</v>
      </c>
      <c r="C61" s="19">
        <f>F49</f>
        <v>139.69051625162524</v>
      </c>
      <c r="D61">
        <v>2.1837534173029831</v>
      </c>
      <c r="P61">
        <v>-1</v>
      </c>
      <c r="Q61">
        <f t="shared" si="10"/>
        <v>141.10011003298581</v>
      </c>
    </row>
    <row r="62" spans="2:17" x14ac:dyDescent="0.55000000000000004">
      <c r="B62">
        <v>-1.5</v>
      </c>
      <c r="C62" s="19">
        <f>G49</f>
        <v>169.41959165521141</v>
      </c>
      <c r="D62">
        <v>2.3498689217393967</v>
      </c>
      <c r="P62">
        <v>-1.5</v>
      </c>
      <c r="Q62">
        <f t="shared" si="10"/>
        <v>170.58739593625623</v>
      </c>
    </row>
    <row r="63" spans="2:17" x14ac:dyDescent="0.55000000000000004">
      <c r="B63">
        <v>-2</v>
      </c>
      <c r="C63" s="19">
        <f>H49</f>
        <v>196.80808407309789</v>
      </c>
      <c r="D63">
        <v>2.5189785763772479</v>
      </c>
      <c r="P63">
        <v>-2</v>
      </c>
      <c r="Q63">
        <f t="shared" si="10"/>
        <v>195.46686184924741</v>
      </c>
    </row>
    <row r="64" spans="2:17" x14ac:dyDescent="0.55000000000000004">
      <c r="B64">
        <v>-2.5</v>
      </c>
      <c r="C64" s="19">
        <f>I49</f>
        <v>215.46464605876909</v>
      </c>
      <c r="D64">
        <v>2.6892951519706587</v>
      </c>
      <c r="P64">
        <v>-2.5</v>
      </c>
      <c r="Q64">
        <f t="shared" si="10"/>
        <v>215.73850777195935</v>
      </c>
    </row>
    <row r="65" spans="2:17" x14ac:dyDescent="0.55000000000000004">
      <c r="B65">
        <v>-3</v>
      </c>
      <c r="C65" s="19">
        <f>J49</f>
        <v>233.5347769540511</v>
      </c>
      <c r="D65">
        <v>2.8289767692431473</v>
      </c>
      <c r="P65">
        <v>-3</v>
      </c>
      <c r="Q65">
        <f t="shared" si="10"/>
        <v>231.40233370439205</v>
      </c>
    </row>
    <row r="66" spans="2:17" x14ac:dyDescent="0.55000000000000004">
      <c r="B66">
        <v>-3.5</v>
      </c>
      <c r="C66" s="19">
        <f>K49</f>
        <v>241.15258511882831</v>
      </c>
      <c r="D66">
        <v>2.9766275756624205</v>
      </c>
      <c r="P66">
        <v>-3.5</v>
      </c>
      <c r="Q66">
        <f t="shared" si="10"/>
        <v>242.45833964654554</v>
      </c>
    </row>
    <row r="67" spans="2:17" x14ac:dyDescent="0.55000000000000004">
      <c r="B67">
        <v>-4</v>
      </c>
      <c r="C67" s="19">
        <f>L49</f>
        <v>249.68961784524114</v>
      </c>
      <c r="D67">
        <v>3.1200086634535564</v>
      </c>
      <c r="P67">
        <v>-4</v>
      </c>
      <c r="Q67">
        <f t="shared" si="10"/>
        <v>248.90652559841979</v>
      </c>
    </row>
    <row r="68" spans="2:17" x14ac:dyDescent="0.55000000000000004">
      <c r="B68">
        <v>-4.5</v>
      </c>
      <c r="C68" s="19">
        <v>250</v>
      </c>
      <c r="D68">
        <v>3.2721744555150725</v>
      </c>
      <c r="P68">
        <v>-4.5</v>
      </c>
      <c r="Q68">
        <f t="shared" si="10"/>
        <v>250</v>
      </c>
    </row>
    <row r="69" spans="2:17" x14ac:dyDescent="0.55000000000000004">
      <c r="B69">
        <v>-5</v>
      </c>
      <c r="C69" s="19">
        <f>C68</f>
        <v>250</v>
      </c>
      <c r="P69">
        <v>-5</v>
      </c>
      <c r="Q69">
        <f t="shared" si="10"/>
        <v>247.97943753133057</v>
      </c>
    </row>
    <row r="70" spans="2:17" x14ac:dyDescent="0.55000000000000004">
      <c r="B70">
        <v>-5.5</v>
      </c>
      <c r="C70" s="19">
        <f>C69</f>
        <v>250</v>
      </c>
      <c r="P70">
        <v>-5.5</v>
      </c>
      <c r="Q70">
        <f t="shared" si="10"/>
        <v>240.60416351236714</v>
      </c>
    </row>
    <row r="71" spans="2:17" x14ac:dyDescent="0.55000000000000004">
      <c r="B71">
        <v>-6</v>
      </c>
      <c r="C71" s="19">
        <f>C70</f>
        <v>250</v>
      </c>
      <c r="P71">
        <v>-6</v>
      </c>
      <c r="Q71">
        <f t="shared" si="10"/>
        <v>228.62106950312446</v>
      </c>
    </row>
    <row r="72" spans="2:17" x14ac:dyDescent="0.55000000000000004">
      <c r="B72">
        <v>-6.5</v>
      </c>
      <c r="C72" s="19">
        <f>C71</f>
        <v>250</v>
      </c>
      <c r="P72">
        <v>-6.5</v>
      </c>
      <c r="Q72">
        <f t="shared" si="10"/>
        <v>212.03015550360254</v>
      </c>
    </row>
    <row r="74" spans="2:17" ht="16.8" x14ac:dyDescent="0.75">
      <c r="B74">
        <v>1</v>
      </c>
      <c r="C74">
        <f>INDEX(LINEST(C$59:C$68,B$59:B$68^{1,2}),1,B74)</f>
        <v>-9.2156399805584641</v>
      </c>
      <c r="D74" s="9" t="s">
        <v>26</v>
      </c>
    </row>
    <row r="75" spans="2:17" ht="16.8" x14ac:dyDescent="0.75">
      <c r="B75">
        <v>2</v>
      </c>
      <c r="C75">
        <f>INDEX(LINEST(C$59:C$68,B$59:B$68^{1,2}),1,B75)</f>
        <v>-82.013671757936976</v>
      </c>
      <c r="D75" s="9" t="s">
        <v>27</v>
      </c>
    </row>
    <row r="76" spans="2:17" ht="16.8" x14ac:dyDescent="0.75">
      <c r="B76">
        <v>3</v>
      </c>
      <c r="C76">
        <f>INDEX(LINEST(C$59:C$68,B$59:B$68^{1,2}),1,B76)</f>
        <v>68.302078255607313</v>
      </c>
      <c r="D76" s="9" t="s">
        <v>28</v>
      </c>
    </row>
    <row r="77" spans="2:17" x14ac:dyDescent="0.55000000000000004">
      <c r="B77" t="s">
        <v>39</v>
      </c>
      <c r="C77">
        <f>MIN(C55:C72)</f>
        <v>25.308223573380115</v>
      </c>
    </row>
    <row r="78" spans="2:17" x14ac:dyDescent="0.55000000000000004">
      <c r="B78" t="s">
        <v>37</v>
      </c>
      <c r="C78">
        <f>MAX(C55:C72)</f>
        <v>250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78"/>
  <sheetViews>
    <sheetView tabSelected="1" zoomScale="85" zoomScaleNormal="85" workbookViewId="0">
      <selection activeCell="A26" sqref="A26"/>
    </sheetView>
  </sheetViews>
  <sheetFormatPr defaultRowHeight="14.4" x14ac:dyDescent="0.55000000000000004"/>
  <sheetData>
    <row r="1" spans="1:13" ht="28.8" x14ac:dyDescent="0.55000000000000004">
      <c r="A1" s="18" t="s">
        <v>56</v>
      </c>
      <c r="B1" s="3">
        <v>1</v>
      </c>
      <c r="C1" s="3">
        <v>0.5</v>
      </c>
      <c r="D1" s="3">
        <v>0</v>
      </c>
      <c r="E1" s="3">
        <v>-0.5</v>
      </c>
      <c r="F1" s="3">
        <v>-1</v>
      </c>
      <c r="G1" s="3">
        <v>-1.5</v>
      </c>
      <c r="H1" s="3">
        <v>-2</v>
      </c>
      <c r="I1" s="3">
        <v>-2.5</v>
      </c>
      <c r="J1" s="3">
        <v>-3</v>
      </c>
      <c r="K1" s="3">
        <v>-3.5</v>
      </c>
      <c r="L1" s="3">
        <v>-4</v>
      </c>
      <c r="M1" s="3">
        <v>-4.5</v>
      </c>
    </row>
    <row r="2" spans="1:13" x14ac:dyDescent="0.55000000000000004">
      <c r="A2">
        <v>0</v>
      </c>
      <c r="B2" s="4"/>
      <c r="C2" s="4"/>
      <c r="D2">
        <v>1E-4</v>
      </c>
      <c r="E2">
        <v>1E-4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x14ac:dyDescent="0.55000000000000004">
      <c r="A3">
        <v>10</v>
      </c>
      <c r="B3" s="4"/>
      <c r="C3" s="4"/>
      <c r="D3">
        <v>1</v>
      </c>
      <c r="E3">
        <v>0.15</v>
      </c>
      <c r="F3">
        <v>1E-4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x14ac:dyDescent="0.55000000000000004">
      <c r="A4">
        <v>20</v>
      </c>
      <c r="B4" s="4"/>
      <c r="C4" s="4"/>
      <c r="D4">
        <v>2.2999999999999998</v>
      </c>
      <c r="E4">
        <v>0.8</v>
      </c>
      <c r="F4">
        <v>1E-3</v>
      </c>
      <c r="G4">
        <v>1E-3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55000000000000004">
      <c r="A5">
        <f>A4+10</f>
        <v>30</v>
      </c>
      <c r="B5" s="4"/>
      <c r="C5" s="4"/>
      <c r="D5">
        <v>4</v>
      </c>
      <c r="E5">
        <v>1.75</v>
      </c>
      <c r="F5">
        <v>0.45</v>
      </c>
      <c r="G5">
        <v>0.09</v>
      </c>
      <c r="H5">
        <v>1E-4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55000000000000004">
      <c r="A6">
        <f t="shared" ref="A6:A24" si="0">A5+10</f>
        <v>40</v>
      </c>
      <c r="B6" s="4"/>
      <c r="C6" s="4"/>
      <c r="D6">
        <v>5.9</v>
      </c>
      <c r="E6">
        <v>2.9</v>
      </c>
      <c r="F6">
        <v>1.25</v>
      </c>
      <c r="G6">
        <v>0.3</v>
      </c>
      <c r="H6">
        <v>1E-3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55000000000000004">
      <c r="A7">
        <f t="shared" si="0"/>
        <v>50</v>
      </c>
      <c r="B7" s="4"/>
      <c r="C7" s="4"/>
      <c r="D7">
        <v>7.9</v>
      </c>
      <c r="E7">
        <v>4.5999999999999996</v>
      </c>
      <c r="F7">
        <v>2.4</v>
      </c>
      <c r="G7">
        <v>0.85</v>
      </c>
      <c r="H7">
        <v>0.1</v>
      </c>
      <c r="I7">
        <v>1E-4</v>
      </c>
      <c r="J7">
        <v>0</v>
      </c>
      <c r="K7">
        <v>0</v>
      </c>
      <c r="L7">
        <v>0</v>
      </c>
      <c r="M7">
        <v>0</v>
      </c>
    </row>
    <row r="8" spans="1:13" x14ac:dyDescent="0.55000000000000004">
      <c r="A8">
        <f t="shared" si="0"/>
        <v>60</v>
      </c>
      <c r="B8" s="4"/>
      <c r="C8" s="4"/>
      <c r="D8">
        <v>9.9</v>
      </c>
      <c r="E8">
        <v>6.4</v>
      </c>
      <c r="F8">
        <v>3.7</v>
      </c>
      <c r="G8">
        <v>1.6</v>
      </c>
      <c r="H8">
        <v>0.6</v>
      </c>
      <c r="I8">
        <v>1E-3</v>
      </c>
      <c r="J8">
        <v>1E-4</v>
      </c>
      <c r="K8">
        <v>0</v>
      </c>
      <c r="L8">
        <v>0</v>
      </c>
      <c r="M8">
        <v>0</v>
      </c>
    </row>
    <row r="9" spans="1:13" x14ac:dyDescent="0.55000000000000004">
      <c r="A9">
        <f t="shared" si="0"/>
        <v>70</v>
      </c>
      <c r="B9" s="4"/>
      <c r="C9" s="4"/>
      <c r="D9">
        <v>12.3</v>
      </c>
      <c r="E9">
        <v>8.6999999999999993</v>
      </c>
      <c r="F9">
        <v>5.3</v>
      </c>
      <c r="G9">
        <v>2.95</v>
      </c>
      <c r="H9">
        <v>1.3</v>
      </c>
      <c r="I9">
        <v>0.4</v>
      </c>
      <c r="J9">
        <v>1E-3</v>
      </c>
      <c r="K9">
        <v>1E-4</v>
      </c>
      <c r="L9">
        <v>0</v>
      </c>
      <c r="M9">
        <v>0</v>
      </c>
    </row>
    <row r="10" spans="1:13" x14ac:dyDescent="0.55000000000000004">
      <c r="A10">
        <f t="shared" si="0"/>
        <v>80</v>
      </c>
      <c r="B10" s="4"/>
      <c r="C10" s="4"/>
      <c r="D10">
        <v>14.7</v>
      </c>
      <c r="E10">
        <v>10.8</v>
      </c>
      <c r="F10">
        <v>7.1</v>
      </c>
      <c r="G10">
        <v>4.4000000000000004</v>
      </c>
      <c r="H10">
        <v>2.2999999999999998</v>
      </c>
      <c r="I10">
        <v>0.9</v>
      </c>
      <c r="J10">
        <v>0.3</v>
      </c>
      <c r="K10">
        <v>1E-3</v>
      </c>
      <c r="L10">
        <v>1E-4</v>
      </c>
      <c r="M10">
        <v>0</v>
      </c>
    </row>
    <row r="11" spans="1:13" x14ac:dyDescent="0.55000000000000004">
      <c r="A11">
        <f t="shared" si="0"/>
        <v>90</v>
      </c>
      <c r="B11" s="4"/>
      <c r="C11" s="4"/>
      <c r="D11">
        <v>17.100000000000001</v>
      </c>
      <c r="E11">
        <v>13.3</v>
      </c>
      <c r="F11">
        <v>9.1</v>
      </c>
      <c r="G11">
        <v>6.1</v>
      </c>
      <c r="H11">
        <v>3.6</v>
      </c>
      <c r="I11">
        <v>1.8</v>
      </c>
      <c r="J11">
        <v>0.8</v>
      </c>
      <c r="K11">
        <v>0.2</v>
      </c>
      <c r="L11">
        <v>1E-3</v>
      </c>
      <c r="M11">
        <v>1E-4</v>
      </c>
    </row>
    <row r="12" spans="1:13" x14ac:dyDescent="0.55000000000000004">
      <c r="A12">
        <f t="shared" si="0"/>
        <v>100</v>
      </c>
      <c r="B12" s="4"/>
      <c r="C12" s="4"/>
      <c r="D12">
        <v>19.399999999999999</v>
      </c>
      <c r="E12">
        <v>15.6</v>
      </c>
      <c r="F12">
        <v>11.4</v>
      </c>
      <c r="G12">
        <v>8.1</v>
      </c>
      <c r="H12">
        <v>5.0999999999999996</v>
      </c>
      <c r="I12">
        <v>2.9</v>
      </c>
      <c r="J12">
        <v>1.55</v>
      </c>
      <c r="K12">
        <v>0.6</v>
      </c>
      <c r="L12">
        <v>0.2</v>
      </c>
      <c r="M12">
        <v>1E-3</v>
      </c>
    </row>
    <row r="13" spans="1:13" x14ac:dyDescent="0.55000000000000004">
      <c r="A13">
        <f t="shared" si="0"/>
        <v>110</v>
      </c>
      <c r="B13" s="4"/>
      <c r="C13" s="4"/>
      <c r="D13" s="4"/>
      <c r="E13">
        <v>18</v>
      </c>
      <c r="F13">
        <v>13.8</v>
      </c>
      <c r="G13">
        <v>10.199999999999999</v>
      </c>
      <c r="H13">
        <v>6.95</v>
      </c>
      <c r="I13">
        <v>4.3</v>
      </c>
      <c r="J13">
        <v>2.6</v>
      </c>
      <c r="K13">
        <v>1.3</v>
      </c>
      <c r="L13">
        <v>0.55000000000000004</v>
      </c>
      <c r="M13">
        <v>0.1</v>
      </c>
    </row>
    <row r="14" spans="1:13" x14ac:dyDescent="0.55000000000000004">
      <c r="A14">
        <f t="shared" si="0"/>
        <v>120</v>
      </c>
      <c r="B14" s="4"/>
      <c r="C14" s="4"/>
      <c r="D14" s="4"/>
      <c r="E14" s="4"/>
      <c r="F14">
        <v>16.149999999999999</v>
      </c>
      <c r="G14">
        <v>12.6</v>
      </c>
      <c r="H14">
        <v>9</v>
      </c>
      <c r="I14">
        <v>5.9</v>
      </c>
      <c r="J14">
        <v>3.8</v>
      </c>
      <c r="K14">
        <v>2.1</v>
      </c>
      <c r="L14">
        <v>1.1000000000000001</v>
      </c>
      <c r="M14">
        <v>0.4</v>
      </c>
    </row>
    <row r="15" spans="1:13" x14ac:dyDescent="0.55000000000000004">
      <c r="A15">
        <f t="shared" si="0"/>
        <v>130</v>
      </c>
      <c r="B15" s="4"/>
      <c r="C15" s="4"/>
      <c r="D15" s="4"/>
      <c r="E15" s="4"/>
      <c r="F15">
        <v>18.399999999999999</v>
      </c>
      <c r="G15">
        <v>14.7</v>
      </c>
      <c r="H15">
        <v>11.3</v>
      </c>
      <c r="I15">
        <v>7.9</v>
      </c>
      <c r="J15">
        <v>5.2</v>
      </c>
      <c r="K15">
        <v>3.3</v>
      </c>
      <c r="L15">
        <v>1.85</v>
      </c>
      <c r="M15">
        <v>0.85</v>
      </c>
    </row>
    <row r="16" spans="1:13" x14ac:dyDescent="0.55000000000000004">
      <c r="A16">
        <f t="shared" si="0"/>
        <v>140</v>
      </c>
      <c r="B16" s="4"/>
      <c r="C16" s="4"/>
      <c r="D16" s="4"/>
      <c r="E16" s="4"/>
      <c r="F16" s="4"/>
      <c r="G16">
        <v>16.899999999999999</v>
      </c>
      <c r="H16">
        <v>13.6</v>
      </c>
      <c r="I16">
        <v>10</v>
      </c>
      <c r="J16">
        <v>7</v>
      </c>
      <c r="K16">
        <v>4.5999999999999996</v>
      </c>
      <c r="L16">
        <v>2.85</v>
      </c>
      <c r="M16">
        <v>1.45</v>
      </c>
    </row>
    <row r="17" spans="1:14" x14ac:dyDescent="0.55000000000000004">
      <c r="A17">
        <f t="shared" si="0"/>
        <v>150</v>
      </c>
      <c r="B17" s="4"/>
      <c r="C17" s="4"/>
      <c r="D17" s="4"/>
      <c r="E17" s="4"/>
      <c r="F17" s="4"/>
      <c r="G17" s="4"/>
      <c r="H17">
        <v>15.7</v>
      </c>
      <c r="I17">
        <v>12.5</v>
      </c>
      <c r="J17">
        <v>9</v>
      </c>
      <c r="K17">
        <v>6.2</v>
      </c>
      <c r="L17">
        <v>4.0999999999999996</v>
      </c>
      <c r="M17">
        <v>2.35</v>
      </c>
    </row>
    <row r="18" spans="1:14" x14ac:dyDescent="0.55000000000000004">
      <c r="A18">
        <f t="shared" si="0"/>
        <v>160</v>
      </c>
      <c r="B18" s="4"/>
      <c r="C18" s="4"/>
      <c r="D18" s="4"/>
      <c r="E18" s="4"/>
      <c r="F18" s="4"/>
      <c r="G18" s="4"/>
      <c r="H18" s="4"/>
      <c r="I18">
        <v>15</v>
      </c>
      <c r="J18">
        <v>11.2</v>
      </c>
      <c r="K18">
        <v>8.1</v>
      </c>
      <c r="L18">
        <v>5.5</v>
      </c>
      <c r="M18">
        <v>3.5</v>
      </c>
    </row>
    <row r="19" spans="1:14" x14ac:dyDescent="0.55000000000000004">
      <c r="A19">
        <f t="shared" si="0"/>
        <v>170</v>
      </c>
      <c r="B19" s="4"/>
      <c r="C19" s="4"/>
      <c r="D19" s="4"/>
      <c r="E19" s="4"/>
      <c r="F19" s="4"/>
      <c r="G19" s="4"/>
      <c r="H19" s="4"/>
      <c r="I19" s="4"/>
      <c r="J19">
        <v>13.5</v>
      </c>
      <c r="K19">
        <v>10.050000000000001</v>
      </c>
      <c r="L19">
        <v>7.3</v>
      </c>
      <c r="M19">
        <v>4.8</v>
      </c>
    </row>
    <row r="20" spans="1:14" x14ac:dyDescent="0.55000000000000004">
      <c r="A20">
        <f t="shared" si="0"/>
        <v>180</v>
      </c>
      <c r="B20" s="4"/>
      <c r="C20" s="4"/>
      <c r="D20" s="4"/>
      <c r="E20" s="4"/>
      <c r="F20" s="4"/>
      <c r="G20" s="4"/>
      <c r="H20" s="4"/>
      <c r="I20" s="4"/>
      <c r="J20" s="4"/>
      <c r="K20">
        <v>12.1</v>
      </c>
      <c r="L20">
        <v>9.1</v>
      </c>
      <c r="M20">
        <v>6.5</v>
      </c>
    </row>
    <row r="21" spans="1:14" x14ac:dyDescent="0.55000000000000004">
      <c r="A21">
        <f t="shared" si="0"/>
        <v>190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>
        <v>11.3</v>
      </c>
      <c r="M21">
        <v>8.5</v>
      </c>
    </row>
    <row r="22" spans="1:14" x14ac:dyDescent="0.55000000000000004">
      <c r="A22">
        <f t="shared" si="0"/>
        <v>200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>
        <v>10.5</v>
      </c>
    </row>
    <row r="23" spans="1:14" x14ac:dyDescent="0.55000000000000004">
      <c r="A23">
        <f t="shared" si="0"/>
        <v>210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</row>
    <row r="24" spans="1:14" x14ac:dyDescent="0.55000000000000004">
      <c r="A24">
        <f t="shared" si="0"/>
        <v>220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</row>
    <row r="26" spans="1:14" x14ac:dyDescent="0.55000000000000004">
      <c r="A26" s="5" t="s">
        <v>19</v>
      </c>
    </row>
    <row r="27" spans="1:14" ht="16.8" x14ac:dyDescent="0.75">
      <c r="A27">
        <v>1</v>
      </c>
      <c r="D27">
        <f>INDEX(LINEST(D$2:D$12,$A$2:$A$12^{1,2}),1,$A27)</f>
        <v>7.4127622377622338E-4</v>
      </c>
      <c r="E27">
        <f>INDEX(LINEST(E$2:E$13,$A$2:$A$13^{1,2}),1,$A27)</f>
        <v>1.1566071428571424E-3</v>
      </c>
      <c r="F27">
        <f>INDEX(LINEST(F$2:F$15,$A$2:$A$15^{1,2}),1,$A27)</f>
        <v>1.1394416208791206E-3</v>
      </c>
      <c r="G27">
        <f>INDEX(LINEST(G$2:G$16,$A$2:$A$16^{1,2}),1,$A27)</f>
        <v>1.1528799288946347E-3</v>
      </c>
      <c r="H27">
        <f>INDEX(LINEST(H$4:H$17,$A$4:$A$17^{1,2}),1,$A27)</f>
        <v>1.1947300824175829E-3</v>
      </c>
      <c r="I27">
        <f>INDEX(LINEST(I$6:I$18,$A$6:$A$18^{1,2}),1,$A27)</f>
        <v>1.2892262737262735E-3</v>
      </c>
      <c r="J27">
        <f>INDEX(LINEST(J$7:J$19,$A$7:$A$19^{1,2}),1,$A27)</f>
        <v>1.1775879120879118E-3</v>
      </c>
      <c r="K27">
        <f>INDEX(LINEST(K$8:K$20,$A$8:$A$20^{1,2}),1,$A27)</f>
        <v>1.0976678321678323E-3</v>
      </c>
      <c r="L27">
        <f>INDEX(LINEST(L$9:L$21,$A$9:$A$21^{1,2}),1,$A27)</f>
        <v>1.054211288711289E-3</v>
      </c>
      <c r="M27">
        <f>INDEX(LINEST(M$10:M$22,$A$10:$A$22^{1,2}),1,$A27)</f>
        <v>1.0594560439560442E-3</v>
      </c>
      <c r="N27" s="9" t="s">
        <v>26</v>
      </c>
    </row>
    <row r="28" spans="1:14" ht="16.8" x14ac:dyDescent="0.75">
      <c r="A28">
        <v>2</v>
      </c>
      <c r="D28">
        <f>INDEX(LINEST(D$2:D$12,$A$2:$A$12^{1,2}),1,$A28)</f>
        <v>0.12514465034965036</v>
      </c>
      <c r="E28">
        <f>INDEX(LINEST(E$2:E$13,$A$2:$A$13^{1,2}),1,$A28)</f>
        <v>4.3751850649350686E-2</v>
      </c>
      <c r="F28">
        <f>INDEX(LINEST(F$2:F$15,$A$2:$A$15^{1,2}),1,$A28)</f>
        <v>-2.9446565934066469E-4</v>
      </c>
      <c r="G28">
        <f>INDEX(LINEST(G$2:G$16,$A$2:$A$16^{1,2}),1,$A28)</f>
        <v>-3.7605190045248794E-2</v>
      </c>
      <c r="H28">
        <f>INDEX(LINEST(H$4:H$17,$A$4:$A$17^{1,2}),1,$A28)</f>
        <v>-7.9556883241758317E-2</v>
      </c>
      <c r="I28">
        <f>INDEX(LINEST(I$6:I$18,$A$6:$A$18^{1,2}),1,$A28)</f>
        <v>-0.13284772727272726</v>
      </c>
      <c r="J28">
        <f>INDEX(LINEST(J$7:J$19,$A$7:$A$19^{1,2}),1,$A28)</f>
        <v>-0.14690148351648347</v>
      </c>
      <c r="K28">
        <f>INDEX(LINEST(K$8:K$20,$A$8:$A$20^{1,2}),1,$A28)</f>
        <v>-0.16275593906093913</v>
      </c>
      <c r="L28">
        <f>INDEX(LINEST(L$9:L$21,$A$9:$A$21^{1,2}),1,$A28)</f>
        <v>-0.18220180319680321</v>
      </c>
      <c r="M28">
        <f>INDEX(LINEST(M$10:M$22,$A$10:$A$22^{1,2}),1,$A28)</f>
        <v>-0.21241939560439571</v>
      </c>
      <c r="N28" s="9" t="s">
        <v>27</v>
      </c>
    </row>
    <row r="29" spans="1:14" ht="16.8" x14ac:dyDescent="0.75">
      <c r="A29">
        <v>3</v>
      </c>
      <c r="D29">
        <f>INDEX(LINEST(D$2:D$12,$A$2:$A$12^{1,2}),1,$A29)</f>
        <v>-0.26078111888111799</v>
      </c>
      <c r="E29">
        <f>INDEX(LINEST(E$2:E$13,$A$2:$A$13^{1,2}),1,$A29)</f>
        <v>-0.36670357142857313</v>
      </c>
      <c r="F29">
        <f>INDEX(LINEST(F$2:F$15,$A$2:$A$15^{1,2}),1,$A29)</f>
        <v>-0.28580035714285668</v>
      </c>
      <c r="G29">
        <f>INDEX(LINEST(G$2:G$16,$A$2:$A$16^{1,2}),1,$A29)</f>
        <v>8.3949117647053484E-2</v>
      </c>
      <c r="H29">
        <f>INDEX(LINEST(H$4:H$17,$A$4:$A$17^{1,2}),1,$A29)</f>
        <v>1.1569095604395621</v>
      </c>
      <c r="I29">
        <f>INDEX(LINEST(I$6:I$18,$A$6:$A$18^{1,2}),1,$A29)</f>
        <v>3.3261393606393614</v>
      </c>
      <c r="J29">
        <f>INDEX(LINEST(J$7:J$19,$A$7:$A$19^{1,2}),1,$A29)</f>
        <v>4.4887340659340662</v>
      </c>
      <c r="K29">
        <f>INDEX(LINEST(K$8:K$20,$A$8:$A$20^{1,2}),1,$A29)</f>
        <v>5.9222609390609442</v>
      </c>
      <c r="L29">
        <f>INDEX(LINEST(L$9:L$21,$A$9:$A$21^{1,2}),1,$A29)</f>
        <v>7.7673293706293656</v>
      </c>
      <c r="M29">
        <f>INDEX(LINEST(M$10:M$22,$A$10:$A$22^{1,2}),1,$A29)</f>
        <v>10.486376923076936</v>
      </c>
      <c r="N29" s="9" t="s">
        <v>28</v>
      </c>
    </row>
    <row r="30" spans="1:14" ht="17.7" x14ac:dyDescent="0.75">
      <c r="N30" s="8" t="s">
        <v>24</v>
      </c>
    </row>
    <row r="31" spans="1:14" x14ac:dyDescent="0.55000000000000004">
      <c r="B31" s="5" t="s">
        <v>0</v>
      </c>
    </row>
    <row r="32" spans="1:14" x14ac:dyDescent="0.55000000000000004">
      <c r="B32" s="2">
        <v>170</v>
      </c>
      <c r="C32" t="s">
        <v>1</v>
      </c>
    </row>
    <row r="34" spans="1:15" x14ac:dyDescent="0.55000000000000004">
      <c r="B34" s="5" t="s">
        <v>2</v>
      </c>
      <c r="E34" s="5" t="s">
        <v>57</v>
      </c>
      <c r="H34" s="5" t="s">
        <v>51</v>
      </c>
      <c r="N34" s="5" t="s">
        <v>58</v>
      </c>
    </row>
    <row r="35" spans="1:15" x14ac:dyDescent="0.55000000000000004">
      <c r="B35" s="2">
        <v>300</v>
      </c>
      <c r="C35" t="s">
        <v>3</v>
      </c>
      <c r="E35" s="8" t="s">
        <v>9</v>
      </c>
      <c r="H35" t="s">
        <v>50</v>
      </c>
      <c r="N35">
        <v>0</v>
      </c>
      <c r="O35">
        <f>B39</f>
        <v>0.5</v>
      </c>
    </row>
    <row r="36" spans="1:15" x14ac:dyDescent="0.55000000000000004">
      <c r="B36" s="21">
        <v>40</v>
      </c>
      <c r="C36" t="s">
        <v>4</v>
      </c>
      <c r="E36">
        <f>-B39/B32</f>
        <v>-2.9411764705882353E-3</v>
      </c>
      <c r="F36" s="9" t="s">
        <v>10</v>
      </c>
      <c r="N36">
        <f>B32</f>
        <v>170</v>
      </c>
      <c r="O36">
        <v>0</v>
      </c>
    </row>
    <row r="37" spans="1:15" x14ac:dyDescent="0.55000000000000004">
      <c r="B37" s="6">
        <f>B35+B36</f>
        <v>340</v>
      </c>
      <c r="C37" t="s">
        <v>5</v>
      </c>
      <c r="E37">
        <f>B39</f>
        <v>0.5</v>
      </c>
      <c r="F37" s="9" t="s">
        <v>11</v>
      </c>
      <c r="H37" t="s">
        <v>25</v>
      </c>
    </row>
    <row r="38" spans="1:15" x14ac:dyDescent="0.55000000000000004">
      <c r="H38" t="s">
        <v>16</v>
      </c>
    </row>
    <row r="39" spans="1:15" x14ac:dyDescent="0.55000000000000004">
      <c r="B39" s="1">
        <f>B32/B37</f>
        <v>0.5</v>
      </c>
      <c r="C39" t="s">
        <v>6</v>
      </c>
    </row>
    <row r="41" spans="1:15" x14ac:dyDescent="0.55000000000000004">
      <c r="A41" s="5" t="s">
        <v>32</v>
      </c>
    </row>
    <row r="42" spans="1:15" x14ac:dyDescent="0.55000000000000004">
      <c r="A42" t="s">
        <v>29</v>
      </c>
      <c r="D42">
        <v>0</v>
      </c>
      <c r="E42">
        <v>-0.5</v>
      </c>
      <c r="F42">
        <v>-1</v>
      </c>
      <c r="G42">
        <v>-1.5</v>
      </c>
      <c r="H42">
        <v>-2</v>
      </c>
      <c r="I42">
        <v>-2.5</v>
      </c>
      <c r="J42">
        <v>-3</v>
      </c>
      <c r="K42">
        <v>-3.5</v>
      </c>
      <c r="L42">
        <v>-4</v>
      </c>
      <c r="M42">
        <v>-4.5</v>
      </c>
    </row>
    <row r="43" spans="1:15" x14ac:dyDescent="0.55000000000000004">
      <c r="A43" t="s">
        <v>12</v>
      </c>
      <c r="D43">
        <f>D27</f>
        <v>7.4127622377622338E-4</v>
      </c>
      <c r="E43">
        <f t="shared" ref="E43:M43" si="1">E27</f>
        <v>1.1566071428571424E-3</v>
      </c>
      <c r="F43">
        <f t="shared" si="1"/>
        <v>1.1394416208791206E-3</v>
      </c>
      <c r="G43">
        <f t="shared" si="1"/>
        <v>1.1528799288946347E-3</v>
      </c>
      <c r="H43">
        <f t="shared" si="1"/>
        <v>1.1947300824175829E-3</v>
      </c>
      <c r="I43">
        <f t="shared" si="1"/>
        <v>1.2892262737262735E-3</v>
      </c>
      <c r="J43">
        <f t="shared" si="1"/>
        <v>1.1775879120879118E-3</v>
      </c>
      <c r="K43">
        <f t="shared" si="1"/>
        <v>1.0976678321678323E-3</v>
      </c>
      <c r="L43">
        <f t="shared" si="1"/>
        <v>1.054211288711289E-3</v>
      </c>
      <c r="M43">
        <f t="shared" si="1"/>
        <v>1.0594560439560442E-3</v>
      </c>
    </row>
    <row r="44" spans="1:15" x14ac:dyDescent="0.55000000000000004">
      <c r="A44" t="s">
        <v>13</v>
      </c>
      <c r="D44">
        <f>D28</f>
        <v>0.12514465034965036</v>
      </c>
      <c r="E44">
        <f t="shared" ref="E44:M44" si="2">E28</f>
        <v>4.3751850649350686E-2</v>
      </c>
      <c r="F44">
        <f t="shared" si="2"/>
        <v>-2.9446565934066469E-4</v>
      </c>
      <c r="G44">
        <f t="shared" si="2"/>
        <v>-3.7605190045248794E-2</v>
      </c>
      <c r="H44">
        <f t="shared" si="2"/>
        <v>-7.9556883241758317E-2</v>
      </c>
      <c r="I44">
        <f t="shared" si="2"/>
        <v>-0.13284772727272726</v>
      </c>
      <c r="J44">
        <f t="shared" si="2"/>
        <v>-0.14690148351648347</v>
      </c>
      <c r="K44">
        <f t="shared" si="2"/>
        <v>-0.16275593906093913</v>
      </c>
      <c r="L44">
        <f t="shared" si="2"/>
        <v>-0.18220180319680321</v>
      </c>
      <c r="M44">
        <f t="shared" si="2"/>
        <v>-0.21241939560439571</v>
      </c>
    </row>
    <row r="45" spans="1:15" x14ac:dyDescent="0.55000000000000004">
      <c r="A45" t="s">
        <v>15</v>
      </c>
      <c r="D45">
        <f>D29</f>
        <v>-0.26078111888111799</v>
      </c>
      <c r="E45">
        <f t="shared" ref="E45:M45" si="3">E29</f>
        <v>-0.36670357142857313</v>
      </c>
      <c r="F45">
        <f t="shared" si="3"/>
        <v>-0.28580035714285668</v>
      </c>
      <c r="G45">
        <f t="shared" si="3"/>
        <v>8.3949117647053484E-2</v>
      </c>
      <c r="H45">
        <f t="shared" si="3"/>
        <v>1.1569095604395621</v>
      </c>
      <c r="I45">
        <f t="shared" si="3"/>
        <v>3.3261393606393614</v>
      </c>
      <c r="J45">
        <f t="shared" si="3"/>
        <v>4.4887340659340662</v>
      </c>
      <c r="K45">
        <f t="shared" si="3"/>
        <v>5.9222609390609442</v>
      </c>
      <c r="L45">
        <f t="shared" si="3"/>
        <v>7.7673293706293656</v>
      </c>
      <c r="M45">
        <f t="shared" si="3"/>
        <v>10.486376923076936</v>
      </c>
    </row>
    <row r="46" spans="1:15" x14ac:dyDescent="0.55000000000000004">
      <c r="A46" t="s">
        <v>17</v>
      </c>
      <c r="D46">
        <f>D43</f>
        <v>7.4127622377622338E-4</v>
      </c>
      <c r="E46">
        <f t="shared" ref="E46:M46" si="4">E43</f>
        <v>1.1566071428571424E-3</v>
      </c>
      <c r="F46">
        <f t="shared" si="4"/>
        <v>1.1394416208791206E-3</v>
      </c>
      <c r="G46">
        <f t="shared" si="4"/>
        <v>1.1528799288946347E-3</v>
      </c>
      <c r="H46">
        <f t="shared" si="4"/>
        <v>1.1947300824175829E-3</v>
      </c>
      <c r="I46">
        <f t="shared" si="4"/>
        <v>1.2892262737262735E-3</v>
      </c>
      <c r="J46">
        <f t="shared" si="4"/>
        <v>1.1775879120879118E-3</v>
      </c>
      <c r="K46">
        <f t="shared" si="4"/>
        <v>1.0976678321678323E-3</v>
      </c>
      <c r="L46">
        <f t="shared" si="4"/>
        <v>1.054211288711289E-3</v>
      </c>
      <c r="M46">
        <f t="shared" si="4"/>
        <v>1.0594560439560442E-3</v>
      </c>
      <c r="N46" t="s">
        <v>47</v>
      </c>
    </row>
    <row r="47" spans="1:15" x14ac:dyDescent="0.55000000000000004">
      <c r="A47" t="s">
        <v>14</v>
      </c>
      <c r="D47">
        <f>D44-$E$36</f>
        <v>0.12808582682023859</v>
      </c>
      <c r="E47">
        <f t="shared" ref="E47:M47" si="5">E44-$E$36</f>
        <v>4.6693027119938918E-2</v>
      </c>
      <c r="F47">
        <f t="shared" si="5"/>
        <v>2.6467108112475705E-3</v>
      </c>
      <c r="G47">
        <f t="shared" si="5"/>
        <v>-3.4664013574660563E-2</v>
      </c>
      <c r="H47">
        <f t="shared" si="5"/>
        <v>-7.6615706771170078E-2</v>
      </c>
      <c r="I47">
        <f t="shared" si="5"/>
        <v>-0.12990655080213903</v>
      </c>
      <c r="J47">
        <f t="shared" si="5"/>
        <v>-0.14396030704589524</v>
      </c>
      <c r="K47">
        <f t="shared" si="5"/>
        <v>-0.15981476259035091</v>
      </c>
      <c r="L47">
        <f t="shared" si="5"/>
        <v>-0.17926062672621498</v>
      </c>
      <c r="M47">
        <f t="shared" si="5"/>
        <v>-0.20947821913380749</v>
      </c>
      <c r="N47" t="s">
        <v>48</v>
      </c>
    </row>
    <row r="48" spans="1:15" x14ac:dyDescent="0.55000000000000004">
      <c r="A48" t="s">
        <v>18</v>
      </c>
      <c r="D48">
        <f>D45-$E$37</f>
        <v>-0.76078111888111799</v>
      </c>
      <c r="E48">
        <f t="shared" ref="E48:M48" si="6">E45-$E$37</f>
        <v>-0.86670357142857313</v>
      </c>
      <c r="F48">
        <f t="shared" si="6"/>
        <v>-0.78580035714285668</v>
      </c>
      <c r="G48">
        <f t="shared" si="6"/>
        <v>-0.41605088235294652</v>
      </c>
      <c r="H48">
        <f t="shared" si="6"/>
        <v>0.65690956043956206</v>
      </c>
      <c r="I48">
        <f t="shared" si="6"/>
        <v>2.8261393606393614</v>
      </c>
      <c r="J48">
        <f t="shared" si="6"/>
        <v>3.9887340659340662</v>
      </c>
      <c r="K48">
        <f t="shared" si="6"/>
        <v>5.4222609390609442</v>
      </c>
      <c r="L48">
        <f t="shared" si="6"/>
        <v>7.2673293706293656</v>
      </c>
      <c r="M48">
        <f t="shared" si="6"/>
        <v>9.9863769230769357</v>
      </c>
      <c r="N48" t="s">
        <v>49</v>
      </c>
    </row>
    <row r="49" spans="1:17" x14ac:dyDescent="0.55000000000000004">
      <c r="A49" t="s">
        <v>30</v>
      </c>
      <c r="B49" s="7"/>
      <c r="C49" s="7"/>
      <c r="D49" s="7">
        <f>(-D47+SQRT(D47^2-4*D46*D48))/2/D46</f>
        <v>5.7483834887113083</v>
      </c>
      <c r="E49" s="7">
        <f t="shared" ref="E49:M49" si="7">(-E47+SQRT(E47^2-4*E46*E48))/2/E46</f>
        <v>13.826390856656367</v>
      </c>
      <c r="F49" s="7">
        <f t="shared" si="7"/>
        <v>25.125190656381388</v>
      </c>
      <c r="G49" s="7">
        <f t="shared" si="7"/>
        <v>39.2594869953734</v>
      </c>
      <c r="H49" s="7">
        <f t="shared" si="7"/>
        <v>53.933232249117879</v>
      </c>
      <c r="I49" s="7">
        <f t="shared" si="7"/>
        <v>68.987630016538702</v>
      </c>
      <c r="J49" s="7">
        <f>(-J47+SQRT(J47^2-4*J46*J48))/2/J46</f>
        <v>79.80844478526231</v>
      </c>
      <c r="K49" s="7">
        <f t="shared" si="7"/>
        <v>91.762184169838903</v>
      </c>
      <c r="L49" s="7">
        <f t="shared" si="7"/>
        <v>103.32387349418617</v>
      </c>
      <c r="M49" s="7">
        <f t="shared" si="7"/>
        <v>117.50503346535737</v>
      </c>
      <c r="N49" t="s">
        <v>52</v>
      </c>
    </row>
    <row r="50" spans="1:17" x14ac:dyDescent="0.55000000000000004">
      <c r="A50" t="s">
        <v>31</v>
      </c>
      <c r="B50" s="7"/>
      <c r="C50" s="7"/>
      <c r="D50" s="7">
        <f>(D43*D49+D44)*D49+D45</f>
        <v>0.48309298973908543</v>
      </c>
      <c r="E50" s="7">
        <f t="shared" ref="E50:M50" si="8">(E43*E49+E44)*E49+E45</f>
        <v>0.45933414453924626</v>
      </c>
      <c r="F50" s="7">
        <f t="shared" si="8"/>
        <v>0.42610238042240778</v>
      </c>
      <c r="G50" s="7">
        <f t="shared" si="8"/>
        <v>0.38453092060184318</v>
      </c>
      <c r="H50" s="7">
        <f t="shared" si="8"/>
        <v>0.34137284632612352</v>
      </c>
      <c r="I50" s="7">
        <f t="shared" si="8"/>
        <v>0.29709520583371019</v>
      </c>
      <c r="J50" s="7">
        <f t="shared" si="8"/>
        <v>0.2652692800433476</v>
      </c>
      <c r="K50" s="7">
        <f t="shared" si="8"/>
        <v>0.23011122302988607</v>
      </c>
      <c r="L50" s="7">
        <f t="shared" si="8"/>
        <v>0.19610625442886498</v>
      </c>
      <c r="M50" s="7">
        <f t="shared" si="8"/>
        <v>0.15439696039600825</v>
      </c>
      <c r="N50" t="s">
        <v>53</v>
      </c>
    </row>
    <row r="51" spans="1:17" x14ac:dyDescent="0.55000000000000004">
      <c r="A51" t="s">
        <v>46</v>
      </c>
      <c r="D51">
        <f t="shared" ref="D51:M51" si="9">D47^2-4*D46*D48</f>
        <v>1.8661774851921931E-2</v>
      </c>
      <c r="E51">
        <f t="shared" si="9"/>
        <v>6.1899809474396843E-3</v>
      </c>
      <c r="F51">
        <f t="shared" si="9"/>
        <v>3.5884996086393687E-3</v>
      </c>
      <c r="G51">
        <f t="shared" si="9"/>
        <v>3.1202206837587119E-3</v>
      </c>
      <c r="H51">
        <f t="shared" si="9"/>
        <v>2.7306480709064921E-3</v>
      </c>
      <c r="I51">
        <f t="shared" si="9"/>
        <v>2.3015794735157819E-3</v>
      </c>
      <c r="J51">
        <f t="shared" si="9"/>
        <v>1.9362299224395391E-3</v>
      </c>
      <c r="K51">
        <f t="shared" si="9"/>
        <v>1.733392700100856E-3</v>
      </c>
      <c r="L51">
        <f t="shared" si="9"/>
        <v>1.4891696490730438E-3</v>
      </c>
      <c r="M51">
        <f t="shared" si="9"/>
        <v>1.5606147379633728E-3</v>
      </c>
      <c r="N51" t="s">
        <v>54</v>
      </c>
    </row>
    <row r="54" spans="1:17" x14ac:dyDescent="0.55000000000000004">
      <c r="B54" t="s">
        <v>29</v>
      </c>
      <c r="C54" t="s">
        <v>7</v>
      </c>
      <c r="D54" t="s">
        <v>8</v>
      </c>
      <c r="P54" t="s">
        <v>29</v>
      </c>
      <c r="Q54" t="s">
        <v>7</v>
      </c>
    </row>
    <row r="55" spans="1:17" x14ac:dyDescent="0.55000000000000004">
      <c r="B55">
        <v>2</v>
      </c>
      <c r="C55">
        <f>C56</f>
        <v>5.7483834887113083</v>
      </c>
      <c r="P55">
        <v>2</v>
      </c>
      <c r="Q55">
        <f t="shared" ref="Q55:Q72" si="10">compute_va(C$74,C$75,C$76,C$77,C$78,P55)</f>
        <v>5.7483834887113083</v>
      </c>
    </row>
    <row r="56" spans="1:17" x14ac:dyDescent="0.55000000000000004">
      <c r="B56">
        <v>1.5</v>
      </c>
      <c r="C56">
        <f>C57</f>
        <v>5.7483834887113083</v>
      </c>
      <c r="P56">
        <v>1.5</v>
      </c>
      <c r="Q56">
        <f t="shared" si="10"/>
        <v>5.7483834887113083</v>
      </c>
    </row>
    <row r="57" spans="1:17" x14ac:dyDescent="0.55000000000000004">
      <c r="B57">
        <v>1</v>
      </c>
      <c r="C57">
        <f>C58</f>
        <v>5.7483834887113083</v>
      </c>
      <c r="P57">
        <v>1</v>
      </c>
      <c r="Q57">
        <f t="shared" si="10"/>
        <v>5.7483834887113083</v>
      </c>
    </row>
    <row r="58" spans="1:17" x14ac:dyDescent="0.55000000000000004">
      <c r="B58">
        <v>0.5</v>
      </c>
      <c r="C58">
        <f>C59</f>
        <v>5.7483834887113083</v>
      </c>
      <c r="P58">
        <v>0.5</v>
      </c>
      <c r="Q58">
        <f t="shared" si="10"/>
        <v>5.7483834887113083</v>
      </c>
    </row>
    <row r="59" spans="1:17" x14ac:dyDescent="0.55000000000000004">
      <c r="B59">
        <v>0</v>
      </c>
      <c r="C59" s="19">
        <f>D49</f>
        <v>5.7483834887113083</v>
      </c>
      <c r="D59">
        <v>1.8779563536965411</v>
      </c>
      <c r="P59">
        <v>0</v>
      </c>
      <c r="Q59">
        <f t="shared" si="10"/>
        <v>5.7483834887113083</v>
      </c>
    </row>
    <row r="60" spans="1:17" x14ac:dyDescent="0.55000000000000004">
      <c r="B60">
        <v>-0.5</v>
      </c>
      <c r="C60" s="19">
        <f>E49</f>
        <v>13.826390856656367</v>
      </c>
      <c r="D60">
        <v>2.0225013415564423</v>
      </c>
      <c r="P60">
        <v>-0.5</v>
      </c>
      <c r="Q60">
        <f t="shared" si="10"/>
        <v>15.458235888283063</v>
      </c>
    </row>
    <row r="61" spans="1:17" x14ac:dyDescent="0.55000000000000004">
      <c r="B61">
        <v>-1</v>
      </c>
      <c r="C61" s="19">
        <f>F49</f>
        <v>25.125190656381388</v>
      </c>
      <c r="D61">
        <v>2.1837534173029831</v>
      </c>
      <c r="P61">
        <v>-1</v>
      </c>
      <c r="Q61">
        <f t="shared" si="10"/>
        <v>28.015838463885252</v>
      </c>
    </row>
    <row r="62" spans="1:17" x14ac:dyDescent="0.55000000000000004">
      <c r="B62">
        <v>-1.5</v>
      </c>
      <c r="C62" s="19">
        <f>G49</f>
        <v>39.2594869953734</v>
      </c>
      <c r="D62">
        <v>2.3498689217393967</v>
      </c>
      <c r="P62">
        <v>-1.5</v>
      </c>
      <c r="Q62">
        <f t="shared" si="10"/>
        <v>40.63439870005822</v>
      </c>
    </row>
    <row r="63" spans="1:17" x14ac:dyDescent="0.55000000000000004">
      <c r="B63">
        <v>-2</v>
      </c>
      <c r="C63" s="19">
        <f>H49</f>
        <v>53.933232249117879</v>
      </c>
      <c r="D63">
        <v>2.5189785763772479</v>
      </c>
      <c r="P63">
        <v>-2</v>
      </c>
      <c r="Q63">
        <f t="shared" si="10"/>
        <v>53.313916596801981</v>
      </c>
    </row>
    <row r="64" spans="1:17" x14ac:dyDescent="0.55000000000000004">
      <c r="B64">
        <v>-2.5</v>
      </c>
      <c r="C64" s="19">
        <f>I49</f>
        <v>68.987630016538702</v>
      </c>
      <c r="D64">
        <v>2.6892951519706587</v>
      </c>
      <c r="P64">
        <v>-2.5</v>
      </c>
      <c r="Q64">
        <f t="shared" si="10"/>
        <v>66.054392154116513</v>
      </c>
    </row>
    <row r="65" spans="2:17" x14ac:dyDescent="0.55000000000000004">
      <c r="B65">
        <v>-3</v>
      </c>
      <c r="C65" s="19">
        <f>J49</f>
        <v>79.80844478526231</v>
      </c>
      <c r="D65">
        <v>2.8289767692431473</v>
      </c>
      <c r="P65">
        <v>-3</v>
      </c>
      <c r="Q65">
        <f t="shared" si="10"/>
        <v>78.855825372001846</v>
      </c>
    </row>
    <row r="66" spans="2:17" x14ac:dyDescent="0.55000000000000004">
      <c r="B66">
        <v>-3.5</v>
      </c>
      <c r="C66" s="19">
        <f>K49</f>
        <v>91.762184169838903</v>
      </c>
      <c r="D66">
        <v>2.9766275756624205</v>
      </c>
      <c r="P66">
        <v>-3.5</v>
      </c>
      <c r="Q66">
        <f t="shared" si="10"/>
        <v>91.718216250457942</v>
      </c>
    </row>
    <row r="67" spans="2:17" x14ac:dyDescent="0.55000000000000004">
      <c r="B67">
        <v>-4</v>
      </c>
      <c r="C67" s="19">
        <f>L49</f>
        <v>103.32387349418617</v>
      </c>
      <c r="D67">
        <v>3.1200086634535564</v>
      </c>
      <c r="P67">
        <v>-4</v>
      </c>
      <c r="Q67">
        <f t="shared" si="10"/>
        <v>104.64156478948483</v>
      </c>
    </row>
    <row r="68" spans="2:17" x14ac:dyDescent="0.55000000000000004">
      <c r="B68">
        <v>-4.5</v>
      </c>
      <c r="C68" s="19">
        <f>M49</f>
        <v>117.50503346535737</v>
      </c>
      <c r="D68">
        <v>3.2721744555150725</v>
      </c>
      <c r="P68">
        <v>-4.5</v>
      </c>
      <c r="Q68">
        <f t="shared" si="10"/>
        <v>117.50503346535737</v>
      </c>
    </row>
    <row r="69" spans="2:17" x14ac:dyDescent="0.55000000000000004">
      <c r="B69">
        <v>-5</v>
      </c>
      <c r="C69" s="19">
        <f>C68</f>
        <v>117.50503346535737</v>
      </c>
      <c r="P69">
        <v>-5</v>
      </c>
      <c r="Q69">
        <f t="shared" si="10"/>
        <v>117.50503346535737</v>
      </c>
    </row>
    <row r="70" spans="2:17" x14ac:dyDescent="0.55000000000000004">
      <c r="B70">
        <v>-5.5</v>
      </c>
      <c r="C70" s="19">
        <f>C69</f>
        <v>117.50503346535737</v>
      </c>
      <c r="P70">
        <v>-5.5</v>
      </c>
      <c r="Q70">
        <f t="shared" si="10"/>
        <v>117.50503346535737</v>
      </c>
    </row>
    <row r="71" spans="2:17" x14ac:dyDescent="0.55000000000000004">
      <c r="B71">
        <v>-6</v>
      </c>
      <c r="C71" s="19">
        <f>C70</f>
        <v>117.50503346535737</v>
      </c>
      <c r="P71">
        <v>-6</v>
      </c>
      <c r="Q71">
        <f t="shared" si="10"/>
        <v>117.50503346535737</v>
      </c>
    </row>
    <row r="72" spans="2:17" x14ac:dyDescent="0.55000000000000004">
      <c r="B72">
        <v>-6.5</v>
      </c>
      <c r="C72" s="19">
        <f>C71</f>
        <v>117.50503346535737</v>
      </c>
      <c r="P72">
        <v>-6.5</v>
      </c>
      <c r="Q72">
        <f t="shared" si="10"/>
        <v>117.50503346535737</v>
      </c>
    </row>
    <row r="74" spans="2:17" ht="16.8" x14ac:dyDescent="0.75">
      <c r="B74">
        <v>1</v>
      </c>
      <c r="C74">
        <f>INDEX(LINEST(C$59:C$68,B$59:B$68^{1,2}),1,B74)</f>
        <v>0.12191532114156745</v>
      </c>
      <c r="D74" s="9" t="s">
        <v>26</v>
      </c>
    </row>
    <row r="75" spans="2:17" ht="16.8" x14ac:dyDescent="0.75">
      <c r="B75">
        <v>2</v>
      </c>
      <c r="C75">
        <f>INDEX(LINEST(C$59:C$68,B$59:B$68^{1,2}),1,B75)</f>
        <v>-24.932332169492025</v>
      </c>
      <c r="D75" s="9" t="s">
        <v>27</v>
      </c>
    </row>
    <row r="76" spans="2:17" ht="16.8" x14ac:dyDescent="0.75">
      <c r="B76">
        <v>3</v>
      </c>
      <c r="C76">
        <f>INDEX(LINEST(C$59:C$68,B$59:B$68^{1,2}),1,B76)</f>
        <v>2.961590973251659</v>
      </c>
      <c r="D76" s="9" t="s">
        <v>28</v>
      </c>
    </row>
    <row r="77" spans="2:17" x14ac:dyDescent="0.55000000000000004">
      <c r="B77" t="s">
        <v>39</v>
      </c>
      <c r="C77">
        <f>MIN(C55:C72)</f>
        <v>5.7483834887113083</v>
      </c>
      <c r="D77" s="8"/>
    </row>
    <row r="78" spans="2:17" x14ac:dyDescent="0.55000000000000004">
      <c r="B78" t="s">
        <v>37</v>
      </c>
      <c r="C78">
        <f>MAX(C55:C72)</f>
        <v>117.50503346535737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9"/>
  <sheetViews>
    <sheetView zoomScale="85" zoomScaleNormal="85" workbookViewId="0">
      <selection activeCell="J3" sqref="J3"/>
    </sheetView>
  </sheetViews>
  <sheetFormatPr defaultRowHeight="14.4" x14ac:dyDescent="0.55000000000000004"/>
  <sheetData>
    <row r="1" spans="1:11" ht="15" thickTop="1" thickBot="1" x14ac:dyDescent="0.6">
      <c r="A1" s="14" t="s">
        <v>33</v>
      </c>
      <c r="B1" s="14" t="s">
        <v>34</v>
      </c>
      <c r="C1" s="14" t="s">
        <v>35</v>
      </c>
      <c r="D1" s="14" t="s">
        <v>36</v>
      </c>
      <c r="E1" s="14" t="s">
        <v>41</v>
      </c>
      <c r="F1" s="14" t="s">
        <v>42</v>
      </c>
      <c r="G1" s="14" t="s">
        <v>40</v>
      </c>
      <c r="H1" s="14" t="s">
        <v>44</v>
      </c>
      <c r="I1" s="14" t="s">
        <v>45</v>
      </c>
    </row>
    <row r="2" spans="1:11" ht="14.7" thickTop="1" x14ac:dyDescent="0.55000000000000004">
      <c r="A2">
        <v>0</v>
      </c>
      <c r="B2">
        <f t="shared" ref="B2:B34" si="0">A2*2*PI()/32</f>
        <v>0</v>
      </c>
      <c r="C2">
        <f t="shared" ref="C2:C34" si="1">SIN(B2)</f>
        <v>0</v>
      </c>
      <c r="D2">
        <f t="shared" ref="D2:D34" si="2">C2</f>
        <v>0</v>
      </c>
      <c r="E2" s="2">
        <v>-3</v>
      </c>
      <c r="F2">
        <f t="shared" ref="F2:F34" si="3">D2*pre_gain+grid_bias</f>
        <v>-3</v>
      </c>
      <c r="G2">
        <f>compute_va(J$3,J$4,J$5,J$6,J$7,F2)</f>
        <v>231.40233370439205</v>
      </c>
      <c r="H2">
        <f t="shared" ref="H2:H34" si="4">(G2-avg)</f>
        <v>5.9091800602612068</v>
      </c>
      <c r="I2">
        <f t="shared" ref="I2:I34" si="5">H2*post_gain</f>
        <v>0.15968033519805547</v>
      </c>
      <c r="K2" t="s">
        <v>20</v>
      </c>
    </row>
    <row r="3" spans="1:11" ht="14.7" thickBot="1" x14ac:dyDescent="0.6">
      <c r="A3">
        <v>1</v>
      </c>
      <c r="B3">
        <f t="shared" si="0"/>
        <v>0.19634954084936207</v>
      </c>
      <c r="C3">
        <f t="shared" si="1"/>
        <v>0.19509032201612825</v>
      </c>
      <c r="D3">
        <f t="shared" si="2"/>
        <v>0.19509032201612825</v>
      </c>
      <c r="F3">
        <f t="shared" si="3"/>
        <v>-2.7756461296814523</v>
      </c>
      <c r="G3">
        <f t="shared" ref="G3:G34" si="6">compute_va(J$3,J$4,J$5,J$6,J$7,F3)</f>
        <v>224.94376991201</v>
      </c>
      <c r="H3">
        <f t="shared" si="4"/>
        <v>-0.54938373212084457</v>
      </c>
      <c r="I3">
        <f t="shared" si="5"/>
        <v>-1.4845676997958558E-2</v>
      </c>
      <c r="J3">
        <f>'6n2p'!C74</f>
        <v>-9.2156399805584641</v>
      </c>
      <c r="K3" t="s">
        <v>21</v>
      </c>
    </row>
    <row r="4" spans="1:11" ht="15" thickTop="1" thickBot="1" x14ac:dyDescent="0.6">
      <c r="A4">
        <v>2</v>
      </c>
      <c r="B4">
        <f t="shared" si="0"/>
        <v>0.39269908169872414</v>
      </c>
      <c r="C4">
        <f t="shared" si="1"/>
        <v>0.38268343236508978</v>
      </c>
      <c r="D4">
        <f t="shared" si="2"/>
        <v>0.38268343236508978</v>
      </c>
      <c r="E4" s="14" t="s">
        <v>43</v>
      </c>
      <c r="F4">
        <f t="shared" si="3"/>
        <v>-2.5599140527801469</v>
      </c>
      <c r="G4">
        <f t="shared" si="6"/>
        <v>217.85846620439898</v>
      </c>
      <c r="H4">
        <f t="shared" si="4"/>
        <v>-7.6346874397318629</v>
      </c>
      <c r="I4">
        <f t="shared" si="5"/>
        <v>-0.20630771732734757</v>
      </c>
      <c r="J4">
        <f>'6n2p'!C75</f>
        <v>-82.013671757936976</v>
      </c>
      <c r="K4" t="s">
        <v>22</v>
      </c>
    </row>
    <row r="5" spans="1:11" ht="14.7" thickTop="1" x14ac:dyDescent="0.55000000000000004">
      <c r="A5">
        <v>3</v>
      </c>
      <c r="B5">
        <f t="shared" si="0"/>
        <v>0.58904862254808621</v>
      </c>
      <c r="C5">
        <f t="shared" si="1"/>
        <v>0.55557023301960218</v>
      </c>
      <c r="D5">
        <f t="shared" si="2"/>
        <v>0.55557023301960218</v>
      </c>
      <c r="E5" s="13">
        <v>1.1499999999999999</v>
      </c>
      <c r="F5">
        <f t="shared" si="3"/>
        <v>-2.3610942320274573</v>
      </c>
      <c r="G5">
        <f t="shared" si="6"/>
        <v>210.56904941211477</v>
      </c>
      <c r="H5">
        <f t="shared" si="4"/>
        <v>-14.924104232016077</v>
      </c>
      <c r="I5">
        <f t="shared" si="5"/>
        <v>-0.40328538680435883</v>
      </c>
      <c r="J5">
        <f>'6n2p'!C76</f>
        <v>68.302078255607313</v>
      </c>
      <c r="K5" t="s">
        <v>23</v>
      </c>
    </row>
    <row r="6" spans="1:11" ht="14.7" thickBot="1" x14ac:dyDescent="0.6">
      <c r="A6">
        <v>4</v>
      </c>
      <c r="B6">
        <f t="shared" si="0"/>
        <v>0.78539816339744828</v>
      </c>
      <c r="C6">
        <f t="shared" si="1"/>
        <v>0.70710678118654746</v>
      </c>
      <c r="D6">
        <f t="shared" si="2"/>
        <v>0.70710678118654746</v>
      </c>
      <c r="F6">
        <f t="shared" si="3"/>
        <v>-2.1868272016354706</v>
      </c>
      <c r="G6">
        <f t="shared" si="6"/>
        <v>203.58065130996079</v>
      </c>
      <c r="H6">
        <f t="shared" si="4"/>
        <v>-21.912502334170057</v>
      </c>
      <c r="I6">
        <f t="shared" si="5"/>
        <v>-0.59212880333075846</v>
      </c>
      <c r="J6">
        <f>'6n2p'!C77</f>
        <v>25.308223573380115</v>
      </c>
      <c r="K6" t="s">
        <v>39</v>
      </c>
    </row>
    <row r="7" spans="1:11" ht="15" thickTop="1" thickBot="1" x14ac:dyDescent="0.6">
      <c r="A7">
        <v>5</v>
      </c>
      <c r="B7">
        <f t="shared" si="0"/>
        <v>0.98174770424681035</v>
      </c>
      <c r="C7">
        <f t="shared" si="1"/>
        <v>0.83146961230254524</v>
      </c>
      <c r="D7">
        <f t="shared" si="2"/>
        <v>0.83146961230254524</v>
      </c>
      <c r="E7" s="14" t="s">
        <v>45</v>
      </c>
      <c r="F7">
        <f t="shared" si="3"/>
        <v>-2.0438099458520731</v>
      </c>
      <c r="G7">
        <f t="shared" si="6"/>
        <v>197.42724193146699</v>
      </c>
      <c r="H7">
        <f t="shared" si="4"/>
        <v>-28.065911712663848</v>
      </c>
      <c r="I7">
        <f t="shared" si="5"/>
        <v>-0.75840880531893839</v>
      </c>
      <c r="J7">
        <f>'6n2p'!C78</f>
        <v>250</v>
      </c>
      <c r="K7" t="s">
        <v>37</v>
      </c>
    </row>
    <row r="8" spans="1:11" ht="14.7" thickTop="1" x14ac:dyDescent="0.55000000000000004">
      <c r="A8">
        <v>6</v>
      </c>
      <c r="B8">
        <f t="shared" si="0"/>
        <v>1.1780972450961724</v>
      </c>
      <c r="C8">
        <f t="shared" si="1"/>
        <v>0.92387953251128674</v>
      </c>
      <c r="D8">
        <f t="shared" si="2"/>
        <v>0.92387953251128674</v>
      </c>
      <c r="E8" s="20">
        <f>1/H39</f>
        <v>2.7022418266096467E-2</v>
      </c>
      <c r="F8">
        <f t="shared" si="3"/>
        <v>-1.9375385376120204</v>
      </c>
      <c r="G8">
        <f t="shared" si="6"/>
        <v>192.61070316178029</v>
      </c>
      <c r="H8">
        <f t="shared" si="4"/>
        <v>-32.882450482350549</v>
      </c>
      <c r="I8">
        <f t="shared" si="5"/>
        <v>-0.88856333054828207</v>
      </c>
    </row>
    <row r="9" spans="1:11" x14ac:dyDescent="0.55000000000000004">
      <c r="A9">
        <v>7</v>
      </c>
      <c r="B9">
        <f t="shared" si="0"/>
        <v>1.3744467859455345</v>
      </c>
      <c r="C9">
        <f t="shared" si="1"/>
        <v>0.98078528040323043</v>
      </c>
      <c r="D9">
        <f t="shared" si="2"/>
        <v>0.98078528040323043</v>
      </c>
      <c r="F9">
        <f t="shared" si="3"/>
        <v>-1.8720969275362851</v>
      </c>
      <c r="G9">
        <f t="shared" si="6"/>
        <v>189.54113546010157</v>
      </c>
      <c r="H9">
        <f t="shared" si="4"/>
        <v>-35.952018184029271</v>
      </c>
      <c r="I9">
        <f t="shared" si="5"/>
        <v>-0.97151047287914494</v>
      </c>
    </row>
    <row r="10" spans="1:11" x14ac:dyDescent="0.55000000000000004">
      <c r="A10">
        <v>8</v>
      </c>
      <c r="B10">
        <f t="shared" si="0"/>
        <v>1.5707963267948966</v>
      </c>
      <c r="C10">
        <f t="shared" si="1"/>
        <v>1</v>
      </c>
      <c r="D10">
        <f t="shared" si="2"/>
        <v>1</v>
      </c>
      <c r="F10">
        <f t="shared" si="3"/>
        <v>-1.85</v>
      </c>
      <c r="G10">
        <f t="shared" si="6"/>
        <v>188.48684317432938</v>
      </c>
      <c r="H10">
        <f t="shared" si="4"/>
        <v>-37.006310469801463</v>
      </c>
      <c r="I10">
        <f t="shared" si="5"/>
        <v>-1</v>
      </c>
    </row>
    <row r="11" spans="1:11" x14ac:dyDescent="0.55000000000000004">
      <c r="A11">
        <v>9</v>
      </c>
      <c r="B11">
        <f t="shared" si="0"/>
        <v>1.7671458676442586</v>
      </c>
      <c r="C11">
        <f t="shared" si="1"/>
        <v>0.98078528040323043</v>
      </c>
      <c r="D11">
        <f t="shared" si="2"/>
        <v>0.98078528040323043</v>
      </c>
      <c r="F11">
        <f t="shared" si="3"/>
        <v>-1.8720969275362851</v>
      </c>
      <c r="G11">
        <f t="shared" si="6"/>
        <v>189.54113546010157</v>
      </c>
      <c r="H11">
        <f t="shared" si="4"/>
        <v>-35.952018184029271</v>
      </c>
      <c r="I11">
        <f t="shared" si="5"/>
        <v>-0.97151047287914494</v>
      </c>
    </row>
    <row r="12" spans="1:11" x14ac:dyDescent="0.55000000000000004">
      <c r="A12">
        <v>10</v>
      </c>
      <c r="B12">
        <f t="shared" si="0"/>
        <v>1.9634954084936207</v>
      </c>
      <c r="C12">
        <f t="shared" si="1"/>
        <v>0.92387953251128674</v>
      </c>
      <c r="D12">
        <f t="shared" si="2"/>
        <v>0.92387953251128674</v>
      </c>
      <c r="F12">
        <f t="shared" si="3"/>
        <v>-1.9375385376120204</v>
      </c>
      <c r="G12">
        <f t="shared" si="6"/>
        <v>192.61070316178029</v>
      </c>
      <c r="H12">
        <f t="shared" si="4"/>
        <v>-32.882450482350549</v>
      </c>
      <c r="I12">
        <f t="shared" si="5"/>
        <v>-0.88856333054828207</v>
      </c>
    </row>
    <row r="13" spans="1:11" x14ac:dyDescent="0.55000000000000004">
      <c r="A13">
        <v>11</v>
      </c>
      <c r="B13">
        <f t="shared" si="0"/>
        <v>2.1598449493429825</v>
      </c>
      <c r="C13">
        <f t="shared" si="1"/>
        <v>0.83146961230254546</v>
      </c>
      <c r="D13">
        <f t="shared" si="2"/>
        <v>0.83146961230254546</v>
      </c>
      <c r="F13">
        <f t="shared" si="3"/>
        <v>-2.0438099458520727</v>
      </c>
      <c r="G13">
        <f t="shared" si="6"/>
        <v>197.42724193146699</v>
      </c>
      <c r="H13">
        <f t="shared" si="4"/>
        <v>-28.065911712663848</v>
      </c>
      <c r="I13">
        <f t="shared" si="5"/>
        <v>-0.75840880531893839</v>
      </c>
    </row>
    <row r="14" spans="1:11" x14ac:dyDescent="0.55000000000000004">
      <c r="A14">
        <v>12</v>
      </c>
      <c r="B14">
        <f t="shared" si="0"/>
        <v>2.3561944901923448</v>
      </c>
      <c r="C14">
        <f t="shared" si="1"/>
        <v>0.70710678118654757</v>
      </c>
      <c r="D14">
        <f t="shared" si="2"/>
        <v>0.70710678118654757</v>
      </c>
      <c r="F14">
        <f t="shared" si="3"/>
        <v>-2.1868272016354702</v>
      </c>
      <c r="G14">
        <f t="shared" si="6"/>
        <v>203.58065130996076</v>
      </c>
      <c r="H14">
        <f t="shared" si="4"/>
        <v>-21.912502334170085</v>
      </c>
      <c r="I14">
        <f t="shared" si="5"/>
        <v>-0.59212880333075923</v>
      </c>
    </row>
    <row r="15" spans="1:11" x14ac:dyDescent="0.55000000000000004">
      <c r="A15">
        <v>13</v>
      </c>
      <c r="B15">
        <f t="shared" si="0"/>
        <v>2.5525440310417071</v>
      </c>
      <c r="C15">
        <f t="shared" si="1"/>
        <v>0.55557023301960218</v>
      </c>
      <c r="D15">
        <f t="shared" si="2"/>
        <v>0.55557023301960218</v>
      </c>
      <c r="F15">
        <f t="shared" si="3"/>
        <v>-2.3610942320274573</v>
      </c>
      <c r="G15">
        <f t="shared" si="6"/>
        <v>210.56904941211477</v>
      </c>
      <c r="H15">
        <f t="shared" si="4"/>
        <v>-14.924104232016077</v>
      </c>
      <c r="I15">
        <f t="shared" si="5"/>
        <v>-0.40328538680435883</v>
      </c>
    </row>
    <row r="16" spans="1:11" x14ac:dyDescent="0.55000000000000004">
      <c r="A16">
        <v>14</v>
      </c>
      <c r="B16">
        <f t="shared" si="0"/>
        <v>2.748893571891069</v>
      </c>
      <c r="C16">
        <f t="shared" si="1"/>
        <v>0.38268343236508989</v>
      </c>
      <c r="D16">
        <f t="shared" si="2"/>
        <v>0.38268343236508989</v>
      </c>
      <c r="F16">
        <f t="shared" si="3"/>
        <v>-2.5599140527801465</v>
      </c>
      <c r="G16">
        <f t="shared" si="6"/>
        <v>217.85846620439898</v>
      </c>
      <c r="H16">
        <f t="shared" si="4"/>
        <v>-7.6346874397318629</v>
      </c>
      <c r="I16">
        <f t="shared" si="5"/>
        <v>-0.20630771732734757</v>
      </c>
    </row>
    <row r="17" spans="1:9" x14ac:dyDescent="0.55000000000000004">
      <c r="A17">
        <v>15</v>
      </c>
      <c r="B17">
        <f t="shared" si="0"/>
        <v>2.9452431127404308</v>
      </c>
      <c r="C17">
        <f t="shared" si="1"/>
        <v>0.19509032201612861</v>
      </c>
      <c r="D17">
        <f t="shared" si="2"/>
        <v>0.19509032201612861</v>
      </c>
      <c r="F17">
        <f t="shared" si="3"/>
        <v>-2.7756461296814523</v>
      </c>
      <c r="G17">
        <f t="shared" si="6"/>
        <v>224.94376991201</v>
      </c>
      <c r="H17">
        <f t="shared" si="4"/>
        <v>-0.54938373212084457</v>
      </c>
      <c r="I17">
        <f t="shared" si="5"/>
        <v>-1.4845676997958558E-2</v>
      </c>
    </row>
    <row r="18" spans="1:9" x14ac:dyDescent="0.55000000000000004">
      <c r="A18">
        <v>16</v>
      </c>
      <c r="B18">
        <f t="shared" si="0"/>
        <v>3.1415926535897931</v>
      </c>
      <c r="C18">
        <f t="shared" si="1"/>
        <v>1.22514845490862E-16</v>
      </c>
      <c r="D18">
        <f t="shared" si="2"/>
        <v>1.22514845490862E-16</v>
      </c>
      <c r="F18">
        <f t="shared" si="3"/>
        <v>-3</v>
      </c>
      <c r="G18">
        <f t="shared" si="6"/>
        <v>231.40233370439205</v>
      </c>
      <c r="H18">
        <f t="shared" si="4"/>
        <v>5.9091800602612068</v>
      </c>
      <c r="I18">
        <f t="shared" si="5"/>
        <v>0.15968033519805547</v>
      </c>
    </row>
    <row r="19" spans="1:9" x14ac:dyDescent="0.55000000000000004">
      <c r="A19">
        <v>17</v>
      </c>
      <c r="B19">
        <f t="shared" si="0"/>
        <v>3.3379421944391554</v>
      </c>
      <c r="C19">
        <f t="shared" si="1"/>
        <v>-0.19509032201612836</v>
      </c>
      <c r="D19">
        <f t="shared" si="2"/>
        <v>-0.19509032201612836</v>
      </c>
      <c r="F19">
        <f t="shared" si="3"/>
        <v>-3.2243538703185477</v>
      </c>
      <c r="G19">
        <f t="shared" si="6"/>
        <v>236.93316530265861</v>
      </c>
      <c r="H19">
        <f t="shared" si="4"/>
        <v>11.440011658527766</v>
      </c>
      <c r="I19">
        <f t="shared" si="5"/>
        <v>0.30913678000575723</v>
      </c>
    </row>
    <row r="20" spans="1:9" x14ac:dyDescent="0.55000000000000004">
      <c r="A20">
        <v>18</v>
      </c>
      <c r="B20">
        <f t="shared" si="0"/>
        <v>3.5342917352885173</v>
      </c>
      <c r="C20">
        <f t="shared" si="1"/>
        <v>-0.38268343236508967</v>
      </c>
      <c r="D20">
        <f t="shared" si="2"/>
        <v>-0.38268343236508967</v>
      </c>
      <c r="F20">
        <f t="shared" si="3"/>
        <v>-3.4400859472198531</v>
      </c>
      <c r="G20">
        <f t="shared" si="6"/>
        <v>241.37651124456394</v>
      </c>
      <c r="H20">
        <f t="shared" si="4"/>
        <v>15.883357600433101</v>
      </c>
      <c r="I20">
        <f t="shared" si="5"/>
        <v>0.42920673254888558</v>
      </c>
    </row>
    <row r="21" spans="1:9" x14ac:dyDescent="0.55000000000000004">
      <c r="A21">
        <v>19</v>
      </c>
      <c r="B21">
        <f t="shared" si="0"/>
        <v>3.7306412761378791</v>
      </c>
      <c r="C21">
        <f t="shared" si="1"/>
        <v>-0.55557023301960196</v>
      </c>
      <c r="D21">
        <f t="shared" si="2"/>
        <v>-0.55557023301960196</v>
      </c>
      <c r="F21">
        <f t="shared" si="3"/>
        <v>-3.6389057679725423</v>
      </c>
      <c r="G21">
        <f t="shared" si="6"/>
        <v>244.7119588199742</v>
      </c>
      <c r="H21">
        <f t="shared" si="4"/>
        <v>19.218805175843357</v>
      </c>
      <c r="I21">
        <f t="shared" si="5"/>
        <v>0.51933859203625887</v>
      </c>
    </row>
    <row r="22" spans="1:9" x14ac:dyDescent="0.55000000000000004">
      <c r="A22">
        <v>20</v>
      </c>
      <c r="B22">
        <f t="shared" si="0"/>
        <v>3.9269908169872414</v>
      </c>
      <c r="C22">
        <f t="shared" si="1"/>
        <v>-0.70710678118654746</v>
      </c>
      <c r="D22">
        <f t="shared" si="2"/>
        <v>-0.70710678118654746</v>
      </c>
      <c r="F22">
        <f t="shared" si="3"/>
        <v>-3.8131727983645294</v>
      </c>
      <c r="G22">
        <f t="shared" si="6"/>
        <v>247.03633222453479</v>
      </c>
      <c r="H22">
        <f t="shared" si="4"/>
        <v>21.543178580403946</v>
      </c>
      <c r="I22">
        <f t="shared" si="5"/>
        <v>0.58214878238088574</v>
      </c>
    </row>
    <row r="23" spans="1:9" x14ac:dyDescent="0.55000000000000004">
      <c r="A23">
        <v>21</v>
      </c>
      <c r="B23">
        <f t="shared" si="0"/>
        <v>4.1233403578366037</v>
      </c>
      <c r="C23">
        <f t="shared" si="1"/>
        <v>-0.83146961230254524</v>
      </c>
      <c r="D23">
        <f t="shared" si="2"/>
        <v>-0.83146961230254524</v>
      </c>
      <c r="F23">
        <f t="shared" si="3"/>
        <v>-3.9561900541479269</v>
      </c>
      <c r="G23">
        <f t="shared" si="6"/>
        <v>248.52571690543516</v>
      </c>
      <c r="H23">
        <f t="shared" si="4"/>
        <v>23.032563261304318</v>
      </c>
      <c r="I23">
        <f t="shared" si="5"/>
        <v>0.6223955581872922</v>
      </c>
    </row>
    <row r="24" spans="1:9" x14ac:dyDescent="0.55000000000000004">
      <c r="A24">
        <v>22</v>
      </c>
      <c r="B24">
        <f t="shared" si="0"/>
        <v>4.3196898986859651</v>
      </c>
      <c r="C24">
        <f t="shared" si="1"/>
        <v>-0.92387953251128652</v>
      </c>
      <c r="D24">
        <f t="shared" si="2"/>
        <v>-0.92387953251128652</v>
      </c>
      <c r="F24">
        <f t="shared" si="3"/>
        <v>-4.0624614623879793</v>
      </c>
      <c r="G24">
        <f t="shared" si="6"/>
        <v>249.38828645824788</v>
      </c>
      <c r="H24">
        <f t="shared" si="4"/>
        <v>23.895132814117034</v>
      </c>
      <c r="I24">
        <f t="shared" si="5"/>
        <v>0.64570427342699721</v>
      </c>
    </row>
    <row r="25" spans="1:9" x14ac:dyDescent="0.55000000000000004">
      <c r="A25">
        <v>23</v>
      </c>
      <c r="B25">
        <f t="shared" si="0"/>
        <v>4.5160394395353274</v>
      </c>
      <c r="C25">
        <f t="shared" si="1"/>
        <v>-0.98078528040323032</v>
      </c>
      <c r="D25">
        <f t="shared" si="2"/>
        <v>-0.98078528040323032</v>
      </c>
      <c r="F25">
        <f t="shared" si="3"/>
        <v>-4.1279030724637149</v>
      </c>
      <c r="G25">
        <f t="shared" si="6"/>
        <v>249.81589639422091</v>
      </c>
      <c r="H25">
        <f t="shared" si="4"/>
        <v>24.322742750090072</v>
      </c>
      <c r="I25">
        <f t="shared" si="5"/>
        <v>0.65725932797159936</v>
      </c>
    </row>
    <row r="26" spans="1:9" x14ac:dyDescent="0.55000000000000004">
      <c r="A26">
        <v>24</v>
      </c>
      <c r="B26">
        <f t="shared" si="0"/>
        <v>4.7123889803846897</v>
      </c>
      <c r="C26">
        <f t="shared" si="1"/>
        <v>-1</v>
      </c>
      <c r="D26">
        <f t="shared" si="2"/>
        <v>-1</v>
      </c>
      <c r="F26">
        <f t="shared" si="3"/>
        <v>-4.1500000000000004</v>
      </c>
      <c r="G26">
        <f t="shared" si="6"/>
        <v>249.94245648587761</v>
      </c>
      <c r="H26">
        <f t="shared" si="4"/>
        <v>24.449302841746771</v>
      </c>
      <c r="I26">
        <f t="shared" si="5"/>
        <v>0.66067928770414219</v>
      </c>
    </row>
    <row r="27" spans="1:9" x14ac:dyDescent="0.55000000000000004">
      <c r="A27">
        <v>25</v>
      </c>
      <c r="B27">
        <f t="shared" si="0"/>
        <v>4.908738521234052</v>
      </c>
      <c r="C27">
        <f t="shared" si="1"/>
        <v>-0.98078528040323043</v>
      </c>
      <c r="D27">
        <f t="shared" si="2"/>
        <v>-0.98078528040323043</v>
      </c>
      <c r="F27">
        <f t="shared" si="3"/>
        <v>-4.1279030724637149</v>
      </c>
      <c r="G27">
        <f t="shared" si="6"/>
        <v>249.81589639422091</v>
      </c>
      <c r="H27">
        <f t="shared" si="4"/>
        <v>24.322742750090072</v>
      </c>
      <c r="I27">
        <f t="shared" si="5"/>
        <v>0.65725932797159936</v>
      </c>
    </row>
    <row r="28" spans="1:9" x14ac:dyDescent="0.55000000000000004">
      <c r="A28">
        <v>26</v>
      </c>
      <c r="B28">
        <f t="shared" si="0"/>
        <v>5.1050880620834143</v>
      </c>
      <c r="C28">
        <f t="shared" si="1"/>
        <v>-0.92387953251128663</v>
      </c>
      <c r="D28">
        <f t="shared" si="2"/>
        <v>-0.92387953251128663</v>
      </c>
      <c r="F28">
        <f t="shared" si="3"/>
        <v>-4.0624614623879793</v>
      </c>
      <c r="G28">
        <f t="shared" si="6"/>
        <v>249.38828645824788</v>
      </c>
      <c r="H28">
        <f t="shared" si="4"/>
        <v>23.895132814117034</v>
      </c>
      <c r="I28">
        <f t="shared" si="5"/>
        <v>0.64570427342699721</v>
      </c>
    </row>
    <row r="29" spans="1:9" x14ac:dyDescent="0.55000000000000004">
      <c r="A29">
        <v>27</v>
      </c>
      <c r="B29">
        <f t="shared" si="0"/>
        <v>5.3014376029327757</v>
      </c>
      <c r="C29">
        <f t="shared" si="1"/>
        <v>-0.83146961230254546</v>
      </c>
      <c r="D29">
        <f t="shared" si="2"/>
        <v>-0.83146961230254546</v>
      </c>
      <c r="F29">
        <f t="shared" si="3"/>
        <v>-3.9561900541479273</v>
      </c>
      <c r="G29">
        <f t="shared" si="6"/>
        <v>248.52571690543516</v>
      </c>
      <c r="H29">
        <f t="shared" si="4"/>
        <v>23.032563261304318</v>
      </c>
      <c r="I29">
        <f t="shared" si="5"/>
        <v>0.6223955581872922</v>
      </c>
    </row>
    <row r="30" spans="1:9" x14ac:dyDescent="0.55000000000000004">
      <c r="A30">
        <v>28</v>
      </c>
      <c r="B30">
        <f t="shared" si="0"/>
        <v>5.497787143782138</v>
      </c>
      <c r="C30">
        <f t="shared" si="1"/>
        <v>-0.70710678118654768</v>
      </c>
      <c r="D30">
        <f t="shared" si="2"/>
        <v>-0.70710678118654768</v>
      </c>
      <c r="F30">
        <f t="shared" si="3"/>
        <v>-3.8131727983645298</v>
      </c>
      <c r="G30">
        <f t="shared" si="6"/>
        <v>247.03633222453479</v>
      </c>
      <c r="H30">
        <f t="shared" si="4"/>
        <v>21.543178580403946</v>
      </c>
      <c r="I30">
        <f t="shared" si="5"/>
        <v>0.58214878238088574</v>
      </c>
    </row>
    <row r="31" spans="1:9" x14ac:dyDescent="0.55000000000000004">
      <c r="A31">
        <v>29</v>
      </c>
      <c r="B31">
        <f t="shared" si="0"/>
        <v>5.6941366846315002</v>
      </c>
      <c r="C31">
        <f t="shared" si="1"/>
        <v>-0.55557023301960218</v>
      </c>
      <c r="D31">
        <f t="shared" si="2"/>
        <v>-0.55557023301960218</v>
      </c>
      <c r="F31">
        <f t="shared" si="3"/>
        <v>-3.6389057679725427</v>
      </c>
      <c r="G31">
        <f t="shared" si="6"/>
        <v>244.7119588199742</v>
      </c>
      <c r="H31">
        <f t="shared" si="4"/>
        <v>19.218805175843357</v>
      </c>
      <c r="I31">
        <f t="shared" si="5"/>
        <v>0.51933859203625887</v>
      </c>
    </row>
    <row r="32" spans="1:9" x14ac:dyDescent="0.55000000000000004">
      <c r="A32">
        <v>30</v>
      </c>
      <c r="B32">
        <f t="shared" si="0"/>
        <v>5.8904862254808616</v>
      </c>
      <c r="C32">
        <f t="shared" si="1"/>
        <v>-0.38268343236509039</v>
      </c>
      <c r="D32">
        <f t="shared" si="2"/>
        <v>-0.38268343236509039</v>
      </c>
      <c r="F32">
        <f t="shared" si="3"/>
        <v>-3.4400859472198539</v>
      </c>
      <c r="G32">
        <f t="shared" si="6"/>
        <v>241.37651124456397</v>
      </c>
      <c r="H32">
        <f t="shared" si="4"/>
        <v>15.883357600433129</v>
      </c>
      <c r="I32">
        <f t="shared" si="5"/>
        <v>0.42920673254888636</v>
      </c>
    </row>
    <row r="33" spans="1:16" x14ac:dyDescent="0.55000000000000004">
      <c r="A33">
        <v>31</v>
      </c>
      <c r="B33">
        <f t="shared" si="0"/>
        <v>6.0868357663302239</v>
      </c>
      <c r="C33">
        <f t="shared" si="1"/>
        <v>-0.19509032201612872</v>
      </c>
      <c r="D33">
        <f t="shared" si="2"/>
        <v>-0.19509032201612872</v>
      </c>
      <c r="F33">
        <f t="shared" si="3"/>
        <v>-3.2243538703185481</v>
      </c>
      <c r="G33">
        <f t="shared" si="6"/>
        <v>236.93316530265864</v>
      </c>
      <c r="H33">
        <f t="shared" si="4"/>
        <v>11.440011658527794</v>
      </c>
      <c r="I33">
        <f t="shared" si="5"/>
        <v>0.30913678000575801</v>
      </c>
    </row>
    <row r="34" spans="1:16" x14ac:dyDescent="0.55000000000000004">
      <c r="A34">
        <v>32</v>
      </c>
      <c r="B34">
        <f t="shared" si="0"/>
        <v>6.2831853071795862</v>
      </c>
      <c r="C34">
        <f t="shared" si="1"/>
        <v>-2.45029690981724E-16</v>
      </c>
      <c r="D34">
        <f t="shared" si="2"/>
        <v>-2.45029690981724E-16</v>
      </c>
      <c r="F34">
        <f t="shared" si="3"/>
        <v>-3.0000000000000004</v>
      </c>
      <c r="G34">
        <f t="shared" si="6"/>
        <v>231.40233370439208</v>
      </c>
      <c r="H34">
        <f t="shared" si="4"/>
        <v>5.9091800602612352</v>
      </c>
      <c r="I34">
        <f t="shared" si="5"/>
        <v>0.15968033519805622</v>
      </c>
    </row>
    <row r="36" spans="1:16" ht="16.5" x14ac:dyDescent="0.55000000000000004">
      <c r="F36" t="s">
        <v>37</v>
      </c>
      <c r="G36">
        <f>MAX(G2:G34)</f>
        <v>249.94245648587761</v>
      </c>
      <c r="H36">
        <f>MAX(H2:H34)</f>
        <v>24.449302841746771</v>
      </c>
      <c r="J36" s="10"/>
      <c r="L36" s="10"/>
      <c r="N36" s="10"/>
      <c r="P36" s="10"/>
    </row>
    <row r="37" spans="1:16" x14ac:dyDescent="0.55000000000000004">
      <c r="F37" t="s">
        <v>38</v>
      </c>
      <c r="G37">
        <f>AVERAGE(G2:G34)</f>
        <v>225.49315364413084</v>
      </c>
      <c r="H37">
        <f>AVERAGE(H2:H34)</f>
        <v>9.3016503590413121E-14</v>
      </c>
      <c r="J37" s="11"/>
      <c r="L37" s="11"/>
      <c r="N37" s="11"/>
      <c r="P37" s="11"/>
    </row>
    <row r="38" spans="1:16" ht="16.8" x14ac:dyDescent="0.75">
      <c r="F38" t="s">
        <v>39</v>
      </c>
      <c r="G38">
        <f>MIN(G2:G34)</f>
        <v>188.48684317432938</v>
      </c>
      <c r="H38">
        <f>MIN(H2:H34)</f>
        <v>-37.006310469801463</v>
      </c>
      <c r="J38" s="12"/>
      <c r="L38" s="12"/>
      <c r="N38" s="12"/>
      <c r="P38" s="12"/>
    </row>
    <row r="39" spans="1:16" x14ac:dyDescent="0.55000000000000004">
      <c r="F39" t="s">
        <v>59</v>
      </c>
      <c r="G39">
        <f>MAX(ABS(G36),ABS(G38))</f>
        <v>249.94245648587761</v>
      </c>
      <c r="H39">
        <f>MAX(ABS(H36),ABS(H38))</f>
        <v>37.006310469801463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9"/>
  <sheetViews>
    <sheetView zoomScale="85" zoomScaleNormal="85" workbookViewId="0">
      <selection activeCell="F2" sqref="F2"/>
    </sheetView>
  </sheetViews>
  <sheetFormatPr defaultRowHeight="14.4" x14ac:dyDescent="0.55000000000000004"/>
  <cols>
    <col min="6" max="6" width="14.41796875" customWidth="1"/>
  </cols>
  <sheetData>
    <row r="1" spans="1:10" ht="15" thickTop="1" thickBot="1" x14ac:dyDescent="0.6">
      <c r="A1" s="14" t="s">
        <v>33</v>
      </c>
      <c r="B1" s="14" t="s">
        <v>34</v>
      </c>
      <c r="C1" s="14" t="s">
        <v>35</v>
      </c>
      <c r="D1" s="14" t="s">
        <v>36</v>
      </c>
      <c r="E1" s="14" t="s">
        <v>41</v>
      </c>
      <c r="F1" s="14" t="s">
        <v>42</v>
      </c>
      <c r="G1" s="14" t="s">
        <v>40</v>
      </c>
      <c r="H1" s="14" t="s">
        <v>44</v>
      </c>
      <c r="I1" s="14" t="s">
        <v>45</v>
      </c>
      <c r="J1" s="15" t="s">
        <v>55</v>
      </c>
    </row>
    <row r="2" spans="1:10" ht="14.7" thickTop="1" x14ac:dyDescent="0.55000000000000004">
      <c r="A2">
        <v>0</v>
      </c>
      <c r="B2">
        <f t="shared" ref="B2:B34" si="0">A2*2*PI()/32</f>
        <v>0</v>
      </c>
      <c r="C2">
        <f t="shared" ref="C2:C34" si="1">SIN(B2)</f>
        <v>0</v>
      </c>
      <c r="D2">
        <f t="shared" ref="D2:D34" si="2">C2</f>
        <v>0</v>
      </c>
      <c r="E2" s="2">
        <v>-2</v>
      </c>
      <c r="F2">
        <f t="shared" ref="F2:F34" si="3">D2+bias_grid</f>
        <v>-2</v>
      </c>
      <c r="G2">
        <f>D2*F2</f>
        <v>0</v>
      </c>
      <c r="H2">
        <f>G2-G$37</f>
        <v>-0.48484848484848475</v>
      </c>
      <c r="I2">
        <f t="shared" ref="I2:I34" si="4">H2*gain_post</f>
        <v>-0.19277108433734935</v>
      </c>
      <c r="J2">
        <f>I2-'test sine'!I2</f>
        <v>-0.35245141953540482</v>
      </c>
    </row>
    <row r="3" spans="1:10" ht="14.7" thickBot="1" x14ac:dyDescent="0.6">
      <c r="A3">
        <v>1</v>
      </c>
      <c r="B3">
        <f t="shared" si="0"/>
        <v>0.19634954084936207</v>
      </c>
      <c r="C3">
        <f t="shared" si="1"/>
        <v>0.19509032201612825</v>
      </c>
      <c r="D3">
        <f t="shared" si="2"/>
        <v>0.19509032201612825</v>
      </c>
      <c r="F3">
        <f t="shared" si="3"/>
        <v>-1.8049096779838718</v>
      </c>
      <c r="G3">
        <f t="shared" ref="G3:G34" si="5">D3*F3</f>
        <v>-0.35212041028789987</v>
      </c>
      <c r="H3">
        <f t="shared" ref="H3:H34" si="6">G3-G$37</f>
        <v>-0.83696889513638462</v>
      </c>
      <c r="I3">
        <f t="shared" si="4"/>
        <v>-0.33277076553615292</v>
      </c>
      <c r="J3">
        <f>I3-'test sine'!I3</f>
        <v>-0.31792508853819434</v>
      </c>
    </row>
    <row r="4" spans="1:10" ht="15" thickTop="1" thickBot="1" x14ac:dyDescent="0.6">
      <c r="A4">
        <v>2</v>
      </c>
      <c r="B4">
        <f t="shared" si="0"/>
        <v>0.39269908169872414</v>
      </c>
      <c r="C4">
        <f t="shared" si="1"/>
        <v>0.38268343236508978</v>
      </c>
      <c r="D4">
        <f t="shared" si="2"/>
        <v>0.38268343236508978</v>
      </c>
      <c r="E4" s="14" t="s">
        <v>43</v>
      </c>
      <c r="F4">
        <f t="shared" si="3"/>
        <v>-1.6173165676349102</v>
      </c>
      <c r="G4">
        <f t="shared" si="5"/>
        <v>-0.61892025532345329</v>
      </c>
      <c r="H4">
        <f t="shared" si="6"/>
        <v>-1.103768740171938</v>
      </c>
      <c r="I4">
        <f t="shared" si="4"/>
        <v>-0.43884781235751752</v>
      </c>
      <c r="J4">
        <f>I4-'test sine'!I4</f>
        <v>-0.23254009503016995</v>
      </c>
    </row>
    <row r="5" spans="1:10" ht="14.7" thickTop="1" x14ac:dyDescent="0.55000000000000004">
      <c r="A5">
        <v>3</v>
      </c>
      <c r="B5">
        <f t="shared" si="0"/>
        <v>0.58904862254808621</v>
      </c>
      <c r="C5">
        <f t="shared" si="1"/>
        <v>0.55557023301960218</v>
      </c>
      <c r="D5">
        <f t="shared" si="2"/>
        <v>0.55557023301960218</v>
      </c>
      <c r="E5" s="13">
        <v>1</v>
      </c>
      <c r="F5">
        <f t="shared" si="3"/>
        <v>-1.4444297669803978</v>
      </c>
      <c r="G5">
        <f t="shared" si="5"/>
        <v>-0.80248218222174927</v>
      </c>
      <c r="H5">
        <f t="shared" si="6"/>
        <v>-1.287330667070234</v>
      </c>
      <c r="I5">
        <f t="shared" si="4"/>
        <v>-0.51183026522069541</v>
      </c>
      <c r="J5">
        <f>I5-'test sine'!I5</f>
        <v>-0.10854487841633659</v>
      </c>
    </row>
    <row r="6" spans="1:10" ht="14.7" thickBot="1" x14ac:dyDescent="0.6">
      <c r="A6">
        <v>4</v>
      </c>
      <c r="B6">
        <f t="shared" si="0"/>
        <v>0.78539816339744828</v>
      </c>
      <c r="C6">
        <f t="shared" si="1"/>
        <v>0.70710678118654746</v>
      </c>
      <c r="D6">
        <f t="shared" si="2"/>
        <v>0.70710678118654746</v>
      </c>
      <c r="F6">
        <f t="shared" si="3"/>
        <v>-1.2928932188134525</v>
      </c>
      <c r="G6">
        <f t="shared" si="5"/>
        <v>-0.91421356237309503</v>
      </c>
      <c r="H6">
        <f t="shared" si="6"/>
        <v>-1.3990620472215798</v>
      </c>
      <c r="I6">
        <f t="shared" si="4"/>
        <v>-0.55625358503990519</v>
      </c>
      <c r="J6">
        <f>I6-'test sine'!I6</f>
        <v>3.5875218290853272E-2</v>
      </c>
    </row>
    <row r="7" spans="1:10" ht="15" thickTop="1" thickBot="1" x14ac:dyDescent="0.6">
      <c r="A7">
        <v>5</v>
      </c>
      <c r="B7">
        <f t="shared" si="0"/>
        <v>0.98174770424681035</v>
      </c>
      <c r="C7">
        <f t="shared" si="1"/>
        <v>0.83146961230254524</v>
      </c>
      <c r="D7">
        <f t="shared" si="2"/>
        <v>0.83146961230254524</v>
      </c>
      <c r="E7" s="14" t="s">
        <v>45</v>
      </c>
      <c r="F7">
        <f t="shared" si="3"/>
        <v>-1.1685303876974547</v>
      </c>
      <c r="G7">
        <f t="shared" si="5"/>
        <v>-0.97159750842254544</v>
      </c>
      <c r="H7">
        <f t="shared" si="6"/>
        <v>-1.4564459932710303</v>
      </c>
      <c r="I7">
        <f t="shared" si="4"/>
        <v>-0.57906888889089159</v>
      </c>
      <c r="J7">
        <f>I7-'test sine'!I7</f>
        <v>0.17933991642804681</v>
      </c>
    </row>
    <row r="8" spans="1:10" ht="14.7" thickTop="1" x14ac:dyDescent="0.55000000000000004">
      <c r="A8">
        <v>6</v>
      </c>
      <c r="B8">
        <f t="shared" si="0"/>
        <v>1.1780972450961724</v>
      </c>
      <c r="C8">
        <f t="shared" si="1"/>
        <v>0.92387953251128674</v>
      </c>
      <c r="D8">
        <f t="shared" si="2"/>
        <v>0.92387953251128674</v>
      </c>
      <c r="E8" s="13">
        <f>1/H39</f>
        <v>0.39759036144578314</v>
      </c>
      <c r="F8">
        <f t="shared" si="3"/>
        <v>-1.0761204674887133</v>
      </c>
      <c r="G8">
        <f t="shared" si="5"/>
        <v>-0.99420567442929975</v>
      </c>
      <c r="H8">
        <f t="shared" si="6"/>
        <v>-1.4790541592777844</v>
      </c>
      <c r="I8">
        <f t="shared" si="4"/>
        <v>-0.58805767778514317</v>
      </c>
      <c r="J8">
        <f>I8-'test sine'!I8</f>
        <v>0.3005056527631389</v>
      </c>
    </row>
    <row r="9" spans="1:10" x14ac:dyDescent="0.55000000000000004">
      <c r="A9">
        <v>7</v>
      </c>
      <c r="B9">
        <f t="shared" si="0"/>
        <v>1.3744467859455345</v>
      </c>
      <c r="C9">
        <f t="shared" si="1"/>
        <v>0.98078528040323043</v>
      </c>
      <c r="D9">
        <f t="shared" si="2"/>
        <v>0.98078528040323043</v>
      </c>
      <c r="F9">
        <f t="shared" si="3"/>
        <v>-1.0192147195967696</v>
      </c>
      <c r="G9">
        <f t="shared" si="5"/>
        <v>-0.99963079455081749</v>
      </c>
      <c r="H9">
        <f t="shared" si="6"/>
        <v>-1.4844792793993022</v>
      </c>
      <c r="I9">
        <f t="shared" si="4"/>
        <v>-0.59021465325514422</v>
      </c>
      <c r="J9">
        <f>I9-'test sine'!I9</f>
        <v>0.38129581962400072</v>
      </c>
    </row>
    <row r="10" spans="1:10" x14ac:dyDescent="0.55000000000000004">
      <c r="A10">
        <v>8</v>
      </c>
      <c r="B10">
        <f t="shared" si="0"/>
        <v>1.5707963267948966</v>
      </c>
      <c r="C10">
        <f t="shared" si="1"/>
        <v>1</v>
      </c>
      <c r="D10">
        <f t="shared" si="2"/>
        <v>1</v>
      </c>
      <c r="F10">
        <f t="shared" si="3"/>
        <v>-1</v>
      </c>
      <c r="G10">
        <f t="shared" si="5"/>
        <v>-1</v>
      </c>
      <c r="H10">
        <f t="shared" si="6"/>
        <v>-1.4848484848484849</v>
      </c>
      <c r="I10">
        <f t="shared" si="4"/>
        <v>-0.59036144578313254</v>
      </c>
      <c r="J10">
        <f>I10-'test sine'!I10</f>
        <v>0.40963855421686746</v>
      </c>
    </row>
    <row r="11" spans="1:10" x14ac:dyDescent="0.55000000000000004">
      <c r="A11">
        <v>9</v>
      </c>
      <c r="B11">
        <f t="shared" si="0"/>
        <v>1.7671458676442586</v>
      </c>
      <c r="C11">
        <f t="shared" si="1"/>
        <v>0.98078528040323043</v>
      </c>
      <c r="D11">
        <f t="shared" si="2"/>
        <v>0.98078528040323043</v>
      </c>
      <c r="F11">
        <f t="shared" si="3"/>
        <v>-1.0192147195967696</v>
      </c>
      <c r="G11">
        <f t="shared" si="5"/>
        <v>-0.99963079455081749</v>
      </c>
      <c r="H11">
        <f t="shared" si="6"/>
        <v>-1.4844792793993022</v>
      </c>
      <c r="I11">
        <f t="shared" si="4"/>
        <v>-0.59021465325514422</v>
      </c>
      <c r="J11" s="16">
        <f>I11-'test sine'!I11</f>
        <v>0.38129581962400072</v>
      </c>
    </row>
    <row r="12" spans="1:10" x14ac:dyDescent="0.55000000000000004">
      <c r="A12">
        <v>10</v>
      </c>
      <c r="B12">
        <f t="shared" si="0"/>
        <v>1.9634954084936207</v>
      </c>
      <c r="C12">
        <f t="shared" si="1"/>
        <v>0.92387953251128674</v>
      </c>
      <c r="D12">
        <f t="shared" si="2"/>
        <v>0.92387953251128674</v>
      </c>
      <c r="F12">
        <f t="shared" si="3"/>
        <v>-1.0761204674887133</v>
      </c>
      <c r="G12">
        <f t="shared" si="5"/>
        <v>-0.99420567442929975</v>
      </c>
      <c r="H12">
        <f t="shared" si="6"/>
        <v>-1.4790541592777844</v>
      </c>
      <c r="I12">
        <f t="shared" si="4"/>
        <v>-0.58805767778514317</v>
      </c>
      <c r="J12">
        <f>I12-'test sine'!I12</f>
        <v>0.3005056527631389</v>
      </c>
    </row>
    <row r="13" spans="1:10" x14ac:dyDescent="0.55000000000000004">
      <c r="A13">
        <v>11</v>
      </c>
      <c r="B13">
        <f t="shared" si="0"/>
        <v>2.1598449493429825</v>
      </c>
      <c r="C13">
        <f t="shared" si="1"/>
        <v>0.83146961230254546</v>
      </c>
      <c r="D13">
        <f t="shared" si="2"/>
        <v>0.83146961230254546</v>
      </c>
      <c r="F13">
        <f t="shared" si="3"/>
        <v>-1.1685303876974547</v>
      </c>
      <c r="G13">
        <f t="shared" si="5"/>
        <v>-0.97159750842254577</v>
      </c>
      <c r="H13">
        <f t="shared" si="6"/>
        <v>-1.4564459932710305</v>
      </c>
      <c r="I13">
        <f t="shared" si="4"/>
        <v>-0.5790688888908917</v>
      </c>
      <c r="J13">
        <f>I13-'test sine'!I13</f>
        <v>0.1793399164280467</v>
      </c>
    </row>
    <row r="14" spans="1:10" x14ac:dyDescent="0.55000000000000004">
      <c r="A14">
        <v>12</v>
      </c>
      <c r="B14">
        <f t="shared" si="0"/>
        <v>2.3561944901923448</v>
      </c>
      <c r="C14">
        <f t="shared" si="1"/>
        <v>0.70710678118654757</v>
      </c>
      <c r="D14">
        <f t="shared" si="2"/>
        <v>0.70710678118654757</v>
      </c>
      <c r="F14">
        <f t="shared" si="3"/>
        <v>-1.2928932188134525</v>
      </c>
      <c r="G14">
        <f t="shared" si="5"/>
        <v>-0.91421356237309515</v>
      </c>
      <c r="H14">
        <f t="shared" si="6"/>
        <v>-1.3990620472215798</v>
      </c>
      <c r="I14">
        <f t="shared" si="4"/>
        <v>-0.55625358503990519</v>
      </c>
      <c r="J14">
        <f>I14-'test sine'!I14</f>
        <v>3.587521829085405E-2</v>
      </c>
    </row>
    <row r="15" spans="1:10" x14ac:dyDescent="0.55000000000000004">
      <c r="A15">
        <v>13</v>
      </c>
      <c r="B15">
        <f t="shared" si="0"/>
        <v>2.5525440310417071</v>
      </c>
      <c r="C15">
        <f t="shared" si="1"/>
        <v>0.55557023301960218</v>
      </c>
      <c r="D15">
        <f t="shared" si="2"/>
        <v>0.55557023301960218</v>
      </c>
      <c r="F15">
        <f t="shared" si="3"/>
        <v>-1.4444297669803978</v>
      </c>
      <c r="G15">
        <f t="shared" si="5"/>
        <v>-0.80248218222174927</v>
      </c>
      <c r="H15">
        <f t="shared" si="6"/>
        <v>-1.287330667070234</v>
      </c>
      <c r="I15">
        <f t="shared" si="4"/>
        <v>-0.51183026522069541</v>
      </c>
      <c r="J15">
        <f>I15-'test sine'!I15</f>
        <v>-0.10854487841633659</v>
      </c>
    </row>
    <row r="16" spans="1:10" x14ac:dyDescent="0.55000000000000004">
      <c r="A16">
        <v>14</v>
      </c>
      <c r="B16">
        <f t="shared" si="0"/>
        <v>2.748893571891069</v>
      </c>
      <c r="C16">
        <f t="shared" si="1"/>
        <v>0.38268343236508989</v>
      </c>
      <c r="D16">
        <f t="shared" si="2"/>
        <v>0.38268343236508989</v>
      </c>
      <c r="F16">
        <f t="shared" si="3"/>
        <v>-1.6173165676349102</v>
      </c>
      <c r="G16">
        <f t="shared" si="5"/>
        <v>-0.61892025532345352</v>
      </c>
      <c r="H16">
        <f t="shared" si="6"/>
        <v>-1.1037687401719383</v>
      </c>
      <c r="I16">
        <f t="shared" si="4"/>
        <v>-0.43884781235751763</v>
      </c>
      <c r="J16">
        <f>I16-'test sine'!I16</f>
        <v>-0.23254009503017006</v>
      </c>
    </row>
    <row r="17" spans="1:10" x14ac:dyDescent="0.55000000000000004">
      <c r="A17">
        <v>15</v>
      </c>
      <c r="B17">
        <f t="shared" si="0"/>
        <v>2.9452431127404308</v>
      </c>
      <c r="C17">
        <f t="shared" si="1"/>
        <v>0.19509032201612861</v>
      </c>
      <c r="D17">
        <f t="shared" si="2"/>
        <v>0.19509032201612861</v>
      </c>
      <c r="F17">
        <f t="shared" si="3"/>
        <v>-1.8049096779838714</v>
      </c>
      <c r="G17">
        <f t="shared" si="5"/>
        <v>-0.35212041028790048</v>
      </c>
      <c r="H17">
        <f t="shared" si="6"/>
        <v>-0.83696889513638517</v>
      </c>
      <c r="I17">
        <f t="shared" si="4"/>
        <v>-0.33277076553615315</v>
      </c>
      <c r="J17">
        <f>I17-'test sine'!I17</f>
        <v>-0.31792508853819457</v>
      </c>
    </row>
    <row r="18" spans="1:10" x14ac:dyDescent="0.55000000000000004">
      <c r="A18">
        <v>16</v>
      </c>
      <c r="B18">
        <f t="shared" si="0"/>
        <v>3.1415926535897931</v>
      </c>
      <c r="C18">
        <f t="shared" si="1"/>
        <v>1.22514845490862E-16</v>
      </c>
      <c r="D18">
        <f t="shared" si="2"/>
        <v>1.22514845490862E-16</v>
      </c>
      <c r="F18">
        <f t="shared" si="3"/>
        <v>-1.9999999999999998</v>
      </c>
      <c r="G18">
        <f t="shared" si="5"/>
        <v>-2.4502969098172395E-16</v>
      </c>
      <c r="H18">
        <f t="shared" si="6"/>
        <v>-0.48484848484848497</v>
      </c>
      <c r="I18">
        <f t="shared" si="4"/>
        <v>-0.19277108433734944</v>
      </c>
      <c r="J18">
        <f>I18-'test sine'!I18</f>
        <v>-0.35245141953540493</v>
      </c>
    </row>
    <row r="19" spans="1:10" x14ac:dyDescent="0.55000000000000004">
      <c r="A19">
        <v>17</v>
      </c>
      <c r="B19">
        <f t="shared" si="0"/>
        <v>3.3379421944391554</v>
      </c>
      <c r="C19">
        <f t="shared" si="1"/>
        <v>-0.19509032201612836</v>
      </c>
      <c r="D19">
        <f t="shared" si="2"/>
        <v>-0.19509032201612836</v>
      </c>
      <c r="F19">
        <f t="shared" si="3"/>
        <v>-2.1950903220161284</v>
      </c>
      <c r="G19">
        <f t="shared" si="5"/>
        <v>0.4282408777766134</v>
      </c>
      <c r="H19">
        <f t="shared" si="6"/>
        <v>-5.6607607071871346E-2</v>
      </c>
      <c r="I19">
        <f t="shared" si="4"/>
        <v>-2.2506638956286198E-2</v>
      </c>
      <c r="J19">
        <f>I19-'test sine'!I19</f>
        <v>-0.33164341896204341</v>
      </c>
    </row>
    <row r="20" spans="1:10" x14ac:dyDescent="0.55000000000000004">
      <c r="A20">
        <v>18</v>
      </c>
      <c r="B20">
        <f t="shared" si="0"/>
        <v>3.5342917352885173</v>
      </c>
      <c r="C20">
        <f t="shared" si="1"/>
        <v>-0.38268343236508967</v>
      </c>
      <c r="D20">
        <f t="shared" si="2"/>
        <v>-0.38268343236508967</v>
      </c>
      <c r="F20">
        <f t="shared" si="3"/>
        <v>-2.3826834323650896</v>
      </c>
      <c r="G20">
        <f t="shared" si="5"/>
        <v>0.9118134741369055</v>
      </c>
      <c r="H20">
        <f t="shared" si="6"/>
        <v>0.42696498928842075</v>
      </c>
      <c r="I20">
        <f t="shared" si="4"/>
        <v>0.16975716441587813</v>
      </c>
      <c r="J20">
        <f>I20-'test sine'!I20</f>
        <v>-0.25944956813300746</v>
      </c>
    </row>
    <row r="21" spans="1:10" x14ac:dyDescent="0.55000000000000004">
      <c r="A21">
        <v>19</v>
      </c>
      <c r="B21">
        <f t="shared" si="0"/>
        <v>3.7306412761378791</v>
      </c>
      <c r="C21">
        <f t="shared" si="1"/>
        <v>-0.55557023301960196</v>
      </c>
      <c r="D21">
        <f t="shared" si="2"/>
        <v>-0.55557023301960196</v>
      </c>
      <c r="F21">
        <f t="shared" si="3"/>
        <v>-2.5555702330196022</v>
      </c>
      <c r="G21">
        <f t="shared" si="5"/>
        <v>1.4197987498566589</v>
      </c>
      <c r="H21">
        <f t="shared" si="6"/>
        <v>0.93495026500817413</v>
      </c>
      <c r="I21">
        <f t="shared" si="4"/>
        <v>0.37172721379843066</v>
      </c>
      <c r="J21">
        <f>I21-'test sine'!I21</f>
        <v>-0.14761137823782822</v>
      </c>
    </row>
    <row r="22" spans="1:10" x14ac:dyDescent="0.55000000000000004">
      <c r="A22">
        <v>20</v>
      </c>
      <c r="B22">
        <f t="shared" si="0"/>
        <v>3.9269908169872414</v>
      </c>
      <c r="C22">
        <f t="shared" si="1"/>
        <v>-0.70710678118654746</v>
      </c>
      <c r="D22">
        <f t="shared" si="2"/>
        <v>-0.70710678118654746</v>
      </c>
      <c r="F22">
        <f t="shared" si="3"/>
        <v>-2.7071067811865475</v>
      </c>
      <c r="G22">
        <f t="shared" si="5"/>
        <v>1.9142135623730949</v>
      </c>
      <c r="H22">
        <f t="shared" si="6"/>
        <v>1.4293650775246101</v>
      </c>
      <c r="I22">
        <f t="shared" si="4"/>
        <v>0.56830177781098956</v>
      </c>
      <c r="J22">
        <f>I22-'test sine'!I22</f>
        <v>-1.3847004569896182E-2</v>
      </c>
    </row>
    <row r="23" spans="1:10" x14ac:dyDescent="0.55000000000000004">
      <c r="A23">
        <v>21</v>
      </c>
      <c r="B23">
        <f t="shared" si="0"/>
        <v>4.1233403578366037</v>
      </c>
      <c r="C23">
        <f t="shared" si="1"/>
        <v>-0.83146961230254524</v>
      </c>
      <c r="D23">
        <f t="shared" si="2"/>
        <v>-0.83146961230254524</v>
      </c>
      <c r="F23">
        <f t="shared" si="3"/>
        <v>-2.8314696123025453</v>
      </c>
      <c r="G23">
        <f t="shared" si="5"/>
        <v>2.3542809407876355</v>
      </c>
      <c r="H23">
        <f t="shared" si="6"/>
        <v>1.8694324559391506</v>
      </c>
      <c r="I23">
        <f t="shared" si="4"/>
        <v>0.74326832585532498</v>
      </c>
      <c r="J23">
        <f>I23-'test sine'!I23</f>
        <v>0.12087276766803279</v>
      </c>
    </row>
    <row r="24" spans="1:10" x14ac:dyDescent="0.55000000000000004">
      <c r="A24">
        <v>22</v>
      </c>
      <c r="B24">
        <f t="shared" si="0"/>
        <v>4.3196898986859651</v>
      </c>
      <c r="C24">
        <f t="shared" si="1"/>
        <v>-0.92387953251128652</v>
      </c>
      <c r="D24">
        <f t="shared" si="2"/>
        <v>-0.92387953251128652</v>
      </c>
      <c r="F24">
        <f t="shared" si="3"/>
        <v>-2.9238795325112865</v>
      </c>
      <c r="G24">
        <f t="shared" si="5"/>
        <v>2.7013124556158465</v>
      </c>
      <c r="H24">
        <f t="shared" si="6"/>
        <v>2.2164639707673617</v>
      </c>
      <c r="I24">
        <f t="shared" si="4"/>
        <v>0.88124471126895099</v>
      </c>
      <c r="J24">
        <f>I24-'test sine'!I24</f>
        <v>0.23554043784195378</v>
      </c>
    </row>
    <row r="25" spans="1:10" x14ac:dyDescent="0.55000000000000004">
      <c r="A25">
        <v>23</v>
      </c>
      <c r="B25">
        <f t="shared" si="0"/>
        <v>4.5160394395353274</v>
      </c>
      <c r="C25">
        <f t="shared" si="1"/>
        <v>-0.98078528040323032</v>
      </c>
      <c r="D25">
        <f t="shared" si="2"/>
        <v>-0.98078528040323032</v>
      </c>
      <c r="F25">
        <f t="shared" si="3"/>
        <v>-2.9807852804032304</v>
      </c>
      <c r="G25">
        <f t="shared" si="5"/>
        <v>2.9235103270621039</v>
      </c>
      <c r="H25">
        <f t="shared" si="6"/>
        <v>2.438661842213619</v>
      </c>
      <c r="I25">
        <f t="shared" si="4"/>
        <v>0.96958844328975213</v>
      </c>
      <c r="J25">
        <f>I25-'test sine'!I25</f>
        <v>0.31232911531815277</v>
      </c>
    </row>
    <row r="26" spans="1:10" x14ac:dyDescent="0.55000000000000004">
      <c r="A26">
        <v>24</v>
      </c>
      <c r="B26">
        <f t="shared" si="0"/>
        <v>4.7123889803846897</v>
      </c>
      <c r="C26">
        <f t="shared" si="1"/>
        <v>-1</v>
      </c>
      <c r="D26">
        <f t="shared" si="2"/>
        <v>-1</v>
      </c>
      <c r="F26">
        <f t="shared" si="3"/>
        <v>-3</v>
      </c>
      <c r="G26">
        <f t="shared" si="5"/>
        <v>3</v>
      </c>
      <c r="H26">
        <f t="shared" si="6"/>
        <v>2.5151515151515151</v>
      </c>
      <c r="I26">
        <f t="shared" si="4"/>
        <v>1</v>
      </c>
      <c r="J26">
        <f>I26-'test sine'!I26</f>
        <v>0.33932071229585781</v>
      </c>
    </row>
    <row r="27" spans="1:10" x14ac:dyDescent="0.55000000000000004">
      <c r="A27">
        <v>25</v>
      </c>
      <c r="B27">
        <f t="shared" si="0"/>
        <v>4.908738521234052</v>
      </c>
      <c r="C27">
        <f t="shared" si="1"/>
        <v>-0.98078528040323043</v>
      </c>
      <c r="D27">
        <f t="shared" si="2"/>
        <v>-0.98078528040323043</v>
      </c>
      <c r="F27">
        <f t="shared" si="3"/>
        <v>-2.9807852804032304</v>
      </c>
      <c r="G27">
        <f t="shared" si="5"/>
        <v>2.9235103270621043</v>
      </c>
      <c r="H27">
        <f t="shared" si="6"/>
        <v>2.4386618422136195</v>
      </c>
      <c r="I27">
        <f t="shared" si="4"/>
        <v>0.96958844328975236</v>
      </c>
      <c r="J27">
        <f>I27-'test sine'!I27</f>
        <v>0.31232911531815299</v>
      </c>
    </row>
    <row r="28" spans="1:10" x14ac:dyDescent="0.55000000000000004">
      <c r="A28">
        <v>26</v>
      </c>
      <c r="B28">
        <f t="shared" si="0"/>
        <v>5.1050880620834143</v>
      </c>
      <c r="C28">
        <f t="shared" si="1"/>
        <v>-0.92387953251128663</v>
      </c>
      <c r="D28">
        <f t="shared" si="2"/>
        <v>-0.92387953251128663</v>
      </c>
      <c r="F28">
        <f t="shared" si="3"/>
        <v>-2.9238795325112865</v>
      </c>
      <c r="G28">
        <f t="shared" si="5"/>
        <v>2.7013124556158465</v>
      </c>
      <c r="H28">
        <f t="shared" si="6"/>
        <v>2.2164639707673617</v>
      </c>
      <c r="I28">
        <f t="shared" si="4"/>
        <v>0.88124471126895099</v>
      </c>
      <c r="J28">
        <f>I28-'test sine'!I28</f>
        <v>0.23554043784195378</v>
      </c>
    </row>
    <row r="29" spans="1:10" x14ac:dyDescent="0.55000000000000004">
      <c r="A29">
        <v>27</v>
      </c>
      <c r="B29">
        <f t="shared" si="0"/>
        <v>5.3014376029327757</v>
      </c>
      <c r="C29">
        <f t="shared" si="1"/>
        <v>-0.83146961230254546</v>
      </c>
      <c r="D29">
        <f t="shared" si="2"/>
        <v>-0.83146961230254546</v>
      </c>
      <c r="F29">
        <f t="shared" si="3"/>
        <v>-2.8314696123025453</v>
      </c>
      <c r="G29">
        <f t="shared" si="5"/>
        <v>2.3542809407876359</v>
      </c>
      <c r="H29">
        <f t="shared" si="6"/>
        <v>1.8694324559391511</v>
      </c>
      <c r="I29">
        <f t="shared" si="4"/>
        <v>0.7432683258553251</v>
      </c>
      <c r="J29">
        <f>I29-'test sine'!I29</f>
        <v>0.1208727676680329</v>
      </c>
    </row>
    <row r="30" spans="1:10" x14ac:dyDescent="0.55000000000000004">
      <c r="A30">
        <v>28</v>
      </c>
      <c r="B30">
        <f t="shared" si="0"/>
        <v>5.497787143782138</v>
      </c>
      <c r="C30">
        <f t="shared" si="1"/>
        <v>-0.70710678118654768</v>
      </c>
      <c r="D30">
        <f t="shared" si="2"/>
        <v>-0.70710678118654768</v>
      </c>
      <c r="F30">
        <f t="shared" si="3"/>
        <v>-2.7071067811865479</v>
      </c>
      <c r="G30">
        <f t="shared" si="5"/>
        <v>1.9142135623730958</v>
      </c>
      <c r="H30">
        <f t="shared" si="6"/>
        <v>1.4293650775246109</v>
      </c>
      <c r="I30">
        <f t="shared" si="4"/>
        <v>0.56830177781098989</v>
      </c>
      <c r="J30">
        <f>I30-'test sine'!I30</f>
        <v>-1.3847004569895849E-2</v>
      </c>
    </row>
    <row r="31" spans="1:10" x14ac:dyDescent="0.55000000000000004">
      <c r="A31">
        <v>29</v>
      </c>
      <c r="B31">
        <f t="shared" si="0"/>
        <v>5.6941366846315002</v>
      </c>
      <c r="C31">
        <f t="shared" si="1"/>
        <v>-0.55557023301960218</v>
      </c>
      <c r="D31">
        <f t="shared" si="2"/>
        <v>-0.55557023301960218</v>
      </c>
      <c r="F31">
        <f t="shared" si="3"/>
        <v>-2.5555702330196022</v>
      </c>
      <c r="G31">
        <f t="shared" si="5"/>
        <v>1.4197987498566593</v>
      </c>
      <c r="H31">
        <f t="shared" si="6"/>
        <v>0.93495026500817457</v>
      </c>
      <c r="I31">
        <f t="shared" si="4"/>
        <v>0.37172721379843088</v>
      </c>
      <c r="J31">
        <f>I31-'test sine'!I31</f>
        <v>-0.14761137823782799</v>
      </c>
    </row>
    <row r="32" spans="1:10" x14ac:dyDescent="0.55000000000000004">
      <c r="A32">
        <v>30</v>
      </c>
      <c r="B32">
        <f t="shared" si="0"/>
        <v>5.8904862254808616</v>
      </c>
      <c r="C32">
        <f t="shared" si="1"/>
        <v>-0.38268343236509039</v>
      </c>
      <c r="D32">
        <f t="shared" si="2"/>
        <v>-0.38268343236509039</v>
      </c>
      <c r="F32">
        <f t="shared" si="3"/>
        <v>-2.3826834323650905</v>
      </c>
      <c r="G32">
        <f t="shared" si="5"/>
        <v>0.9118134741369075</v>
      </c>
      <c r="H32">
        <f t="shared" si="6"/>
        <v>0.42696498928842275</v>
      </c>
      <c r="I32">
        <f t="shared" si="4"/>
        <v>0.16975716441587893</v>
      </c>
      <c r="J32">
        <f>I32-'test sine'!I32</f>
        <v>-0.25944956813300746</v>
      </c>
    </row>
    <row r="33" spans="1:10" x14ac:dyDescent="0.55000000000000004">
      <c r="A33">
        <v>31</v>
      </c>
      <c r="B33">
        <f t="shared" si="0"/>
        <v>6.0868357663302239</v>
      </c>
      <c r="C33">
        <f t="shared" si="1"/>
        <v>-0.19509032201612872</v>
      </c>
      <c r="D33">
        <f t="shared" si="2"/>
        <v>-0.19509032201612872</v>
      </c>
      <c r="F33">
        <f t="shared" si="3"/>
        <v>-2.1950903220161289</v>
      </c>
      <c r="G33">
        <f t="shared" si="5"/>
        <v>0.42824087777661429</v>
      </c>
      <c r="H33">
        <f t="shared" si="6"/>
        <v>-5.6607607071870458E-2</v>
      </c>
      <c r="I33">
        <f t="shared" si="4"/>
        <v>-2.2506638956285845E-2</v>
      </c>
      <c r="J33">
        <f>I33-'test sine'!I33</f>
        <v>-0.33164341896204386</v>
      </c>
    </row>
    <row r="34" spans="1:10" x14ac:dyDescent="0.55000000000000004">
      <c r="A34">
        <v>32</v>
      </c>
      <c r="B34">
        <f t="shared" si="0"/>
        <v>6.2831853071795862</v>
      </c>
      <c r="C34">
        <f t="shared" si="1"/>
        <v>-2.45029690981724E-16</v>
      </c>
      <c r="D34">
        <f t="shared" si="2"/>
        <v>-2.45029690981724E-16</v>
      </c>
      <c r="F34">
        <f t="shared" si="3"/>
        <v>-2.0000000000000004</v>
      </c>
      <c r="G34">
        <f t="shared" si="5"/>
        <v>4.900593819634481E-16</v>
      </c>
      <c r="H34">
        <f t="shared" si="6"/>
        <v>-0.48484848484848425</v>
      </c>
      <c r="I34">
        <f t="shared" si="4"/>
        <v>-0.19277108433734916</v>
      </c>
      <c r="J34">
        <f>I34-'test sine'!I34</f>
        <v>-0.35245141953540537</v>
      </c>
    </row>
    <row r="36" spans="1:10" x14ac:dyDescent="0.55000000000000004">
      <c r="F36" t="s">
        <v>37</v>
      </c>
      <c r="G36">
        <f>MAX(G2:G34)</f>
        <v>3</v>
      </c>
      <c r="H36">
        <f>MAX(H2:H34)</f>
        <v>2.5151515151515151</v>
      </c>
      <c r="J36">
        <f>SUM('Vout = Vin^2'!J2:J34)</f>
        <v>-8.3044682241961709E-14</v>
      </c>
    </row>
    <row r="37" spans="1:10" x14ac:dyDescent="0.55000000000000004">
      <c r="F37" t="s">
        <v>38</v>
      </c>
      <c r="G37">
        <f>AVERAGE(G2:G34)</f>
        <v>0.48484848484848475</v>
      </c>
      <c r="H37">
        <f>AVERAGE(H2:H34)</f>
        <v>3.599814049542174E-16</v>
      </c>
    </row>
    <row r="38" spans="1:10" x14ac:dyDescent="0.55000000000000004">
      <c r="F38" t="s">
        <v>39</v>
      </c>
      <c r="G38">
        <f>MIN(G2:G34)</f>
        <v>-1</v>
      </c>
      <c r="H38">
        <f>MIN(H2:H34)</f>
        <v>-1.4848484848484849</v>
      </c>
    </row>
    <row r="39" spans="1:10" x14ac:dyDescent="0.55000000000000004">
      <c r="F39" t="s">
        <v>59</v>
      </c>
      <c r="G39">
        <f>MAX(ABS(G36),ABS(G38))</f>
        <v>3</v>
      </c>
      <c r="H39">
        <f>MAX(ABS(H36),ABS(H38))</f>
        <v>2.5151515151515151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6n2p</vt:lpstr>
      <vt:lpstr>6J1</vt:lpstr>
      <vt:lpstr>test sine</vt:lpstr>
      <vt:lpstr>Vout = Vin^2</vt:lpstr>
      <vt:lpstr>average</vt:lpstr>
      <vt:lpstr>avg</vt:lpstr>
      <vt:lpstr>bias_grid</vt:lpstr>
      <vt:lpstr>gain_post</vt:lpstr>
      <vt:lpstr>gain_pre</vt:lpstr>
      <vt:lpstr>grid_bias</vt:lpstr>
      <vt:lpstr>oneovermax</vt:lpstr>
      <vt:lpstr>post_gain</vt:lpstr>
      <vt:lpstr>pre_gain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Jehle</dc:creator>
  <cp:lastModifiedBy>user</cp:lastModifiedBy>
  <cp:revision>0</cp:revision>
  <dcterms:created xsi:type="dcterms:W3CDTF">2025-01-12T14:45:19Z</dcterms:created>
  <dcterms:modified xsi:type="dcterms:W3CDTF">2026-02-02T16:29:00Z</dcterms:modified>
</cp:coreProperties>
</file>